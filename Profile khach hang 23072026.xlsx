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tabRatio="454"/>
  </bookViews>
  <sheets>
    <sheet name="Tổng quan" sheetId="1" r:id="rId1"/>
    <sheet name="Các trạng thái" sheetId="2" r:id="rId2"/>
    <sheet name="Sheet3" sheetId="3" r:id="rId3"/>
    <sheet name="Sheet1" sheetId="4" r:id="rId4"/>
  </sheets>
  <definedNames>
    <definedName name="_xlnm._FilterDatabase" localSheetId="0" hidden="1">'Tổng quan'!$A$3:$N$92</definedName>
  </definedNames>
  <calcPr calcId="144525"/>
</workbook>
</file>

<file path=xl/calcChain.xml><?xml version="1.0" encoding="utf-8"?>
<calcChain xmlns="http://schemas.openxmlformats.org/spreadsheetml/2006/main">
  <c r="D8" i="3" l="1"/>
  <c r="C8" i="3"/>
  <c r="D7" i="3"/>
  <c r="C7" i="3"/>
  <c r="B7" i="3"/>
  <c r="D6" i="3"/>
  <c r="C6" i="3"/>
  <c r="D5" i="3"/>
  <c r="C5" i="3"/>
  <c r="C3" i="3"/>
  <c r="C4" i="3"/>
  <c r="D3" i="3"/>
  <c r="D4" i="3" s="1"/>
  <c r="D92" i="1" l="1"/>
</calcChain>
</file>

<file path=xl/comments1.xml><?xml version="1.0" encoding="utf-8"?>
<comments xmlns="http://schemas.openxmlformats.org/spreadsheetml/2006/main">
  <authors>
    <author>Author</author>
  </authors>
  <commentList>
    <comment ref="E4" authorId="0">
      <text>
        <r>
          <rPr>
            <sz val="9"/>
            <color indexed="81"/>
            <rFont val="Tahoma"/>
            <family val="2"/>
          </rPr>
          <t>Ưu tiên 1: Cán bộ theo thực tế công tác
Ưu tiên 2: Xuất tại MSPL06 (Nếu thuộc Agribank Bắc Ninh thì sử dụng, Nếu khác thì lấy tiếp theo)
Ưu tiên 3: Tiền vay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 số
</t>
        </r>
      </text>
    </comment>
    <comment ref="E14" authorId="0">
      <text>
        <r>
          <rPr>
            <sz val="9"/>
            <color indexed="81"/>
            <rFont val="Tahoma"/>
            <family val="2"/>
          </rPr>
          <t xml:space="preserve">Ưu tiên 1: Xuất tại MSPL06
Ưu tiên 2: 
</t>
        </r>
      </text>
    </comment>
    <comment ref="E18" authorId="0">
      <text>
        <r>
          <rPr>
            <sz val="9"/>
            <color indexed="81"/>
            <rFont val="Tahoma"/>
            <family val="2"/>
          </rPr>
          <t xml:space="preserve">ưu tiên 1: Agribank Plus
Ưu tiên 2: SMS (Banking, saving, loan)
Ưu tiên 3: CIF
</t>
        </r>
      </text>
    </comment>
    <comment ref="E20" authorId="0">
      <text>
        <r>
          <rPr>
            <b/>
            <sz val="9"/>
            <color indexed="81"/>
            <rFont val="Tahoma"/>
            <family val="2"/>
          </rPr>
          <t xml:space="preserve">Ưu tiên 1: Chính mình
Ưu tiên 2: CBTD quản lý khách hàng
Ưu tiên 3: 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 xml:space="preserve">Ưu tiên 1: Chính mình
Ưu tiên 2: CBTD quản lý khách hàng
Ưu tiên 3: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2" authorId="0">
      <text>
        <r>
          <rPr>
            <sz val="9"/>
            <color indexed="81"/>
            <rFont val="Tahoma"/>
            <family val="2"/>
          </rPr>
          <t xml:space="preserve">Ưu tiên 1: TK đổ lương
Ưu tiên 2: TK đăng ký Agribank Plus 
Ưu tiên 3: TK đăng ký SMS Banking
Ưu tiên 3: TK thực hiện nghĩa vụ trả nợ tiền vay
Ưu tiên 4: TK thực hiện thanh toán các dịch vụ Điện, nước, ĐT, ABIC
Ưu tiên 5: Sắp xếp các TK có số dư từ lớn đến bé (các TK còn lại trong kỳ)
</t>
        </r>
      </text>
    </comment>
    <comment ref="F27" authorId="0">
      <text>
        <r>
          <rPr>
            <sz val="9"/>
            <color indexed="81"/>
            <rFont val="Tahoma"/>
            <family val="2"/>
          </rPr>
          <t xml:space="preserve">Chỉ lấy doanh số có CRAMOUNT của TK 421101
</t>
        </r>
      </text>
    </comment>
    <comment ref="G34" authorId="0">
      <text>
        <r>
          <rPr>
            <sz val="9"/>
            <color indexed="81"/>
            <rFont val="Tahoma"/>
            <family val="2"/>
          </rPr>
          <t xml:space="preserve">Xuất tất cả các ngày trong tháng
</t>
        </r>
      </text>
    </comment>
    <comment ref="G42" authorId="0">
      <text>
        <r>
          <rPr>
            <sz val="9"/>
            <color indexed="81"/>
            <rFont val="Tahoma"/>
            <family val="2"/>
          </rPr>
          <t xml:space="preserve">Đề nghị sửa thành "Doanh số thu hồi nợ đã XLRR trong tháng"
</t>
        </r>
      </text>
    </comment>
    <comment ref="G44" authorId="0">
      <text>
        <r>
          <rPr>
            <sz val="9"/>
            <color indexed="81"/>
            <rFont val="Tahoma"/>
            <family val="2"/>
          </rPr>
          <t>1. Chỉ dành cho KH có nhóm nợ từ 1 đến 4.
2. (Dư nợ cuối kỳ-Dư nợ cuối kỳ trước) * 0.75%</t>
        </r>
      </text>
    </comment>
    <comment ref="G45" authorId="0">
      <text>
        <r>
          <rPr>
            <sz val="9"/>
            <color indexed="81"/>
            <rFont val="Tahoma"/>
            <family val="2"/>
          </rPr>
          <t>1. Chỉ dành cho khách hàng có nhóm nợ từ 2 đến 5.
2. Cách tính: Tại BC29:
Lấy dữ liệu cột "SO_TRICH_LAP_TRONG_KY" kỳ này trừ "SO_TRICH_LAP_TRONG_KY" kỳ trước</t>
        </r>
      </text>
    </comment>
    <comment ref="G47" authorId="0">
      <text>
        <r>
          <rPr>
            <sz val="9"/>
            <color indexed="81"/>
            <rFont val="Tahoma"/>
            <family val="2"/>
          </rPr>
          <t xml:space="preserve">1. Chỉ dành cho KH có nhóm nợ từ 1 đến 4
2. Số dư cuối tháng * 0.75%
</t>
        </r>
      </text>
    </comment>
    <comment ref="G48" authorId="0">
      <text>
        <r>
          <rPr>
            <sz val="9"/>
            <color indexed="81"/>
            <rFont val="Tahoma"/>
            <family val="2"/>
          </rPr>
          <t xml:space="preserve">1. Chỉ dành cho khách hàng có nhóm nợ từ 2 đến 5.
2. Cách tính: Tại BC29:
Lấy dữ liệu cột "SO_TRICH_LAP_TRONG_KY" 
</t>
        </r>
      </text>
    </comment>
    <comment ref="G49" authorId="0">
      <text>
        <r>
          <rPr>
            <sz val="9"/>
            <color indexed="81"/>
            <rFont val="Tahoma"/>
            <family val="2"/>
          </rPr>
          <t>1. FTPLN xuất từng ngày trong kỳ, gom theo mã khách hàng
2. KH02 lấy cuối kỳ gom theo mã khách hàng và đầu TK cân đối 702001,702002,702003 (C-N)</t>
        </r>
      </text>
    </comment>
    <comment ref="F50" authorId="0">
      <text>
        <r>
          <rPr>
            <sz val="9"/>
            <color indexed="81"/>
            <rFont val="Tahoma"/>
            <family val="2"/>
          </rPr>
          <t xml:space="preserve">Nghiên cứu thêm
</t>
        </r>
      </text>
    </comment>
    <comment ref="I51" authorId="0">
      <text>
        <r>
          <rPr>
            <sz val="9"/>
            <color indexed="81"/>
            <rFont val="Tahoma"/>
            <family val="2"/>
          </rPr>
          <t xml:space="preserve">Lấy đầu TK cân đối 7040xx (C-N), sau đó gom theo mã khách hàng
</t>
        </r>
      </text>
    </comment>
    <comment ref="I52" authorId="0">
      <text>
        <r>
          <rPr>
            <sz val="9"/>
            <color indexed="81"/>
            <rFont val="Tahoma"/>
            <family val="2"/>
          </rPr>
          <t xml:space="preserve">Lấy đầu TK cân đối 711001,711002 (C-N), sau đó gom theo mã khách hàng
</t>
        </r>
      </text>
    </comment>
    <comment ref="I56" authorId="0">
      <text>
        <r>
          <rPr>
            <sz val="9"/>
            <color indexed="81"/>
            <rFont val="Tahoma"/>
            <family val="2"/>
          </rPr>
          <t xml:space="preserve">1. Xác định theo đầu tk cân đối 711036,711037,711039 (C-N), nhóm theo mã khách hàng
2. Đang nghiên cứu trường hợp mã khách hàng 000000000
</t>
        </r>
      </text>
    </comment>
    <comment ref="I59" authorId="0">
      <text>
        <r>
          <rPr>
            <sz val="9"/>
            <color indexed="81"/>
            <rFont val="Tahoma"/>
            <family val="2"/>
          </rPr>
          <t>Nghiên cứu trên MSPL06 (lấy số liệu tổng trừ đi các phí đã liệt kê)</t>
        </r>
      </text>
    </comment>
    <comment ref="L70" authorId="0">
      <text>
        <r>
          <rPr>
            <sz val="9"/>
            <color indexed="81"/>
            <rFont val="Tahoma"/>
            <family val="2"/>
          </rPr>
          <t xml:space="preserve">B1: Xuất dữ liệu từ Bill payment (list_transaction)
B2: Xác định theo mã 994,995,996,997,999,1003 của trường "Mã DV" (cột M)
B3: Xác định tại trường "Số TK chuyển" (cột H) để tìm được mã khách hàng
</t>
        </r>
      </text>
    </comment>
    <comment ref="L71" authorId="0">
      <text>
        <r>
          <rPr>
            <sz val="9"/>
            <color indexed="81"/>
            <rFont val="Tahoma"/>
            <family val="2"/>
          </rPr>
          <t xml:space="preserve">B1: Xuất dữ liệu từ Bill payment (list_transaction)
B2: Xác định theo mã 1235,6626,10929,10930,10931,10932,6541,10930 của trường "Mã DV" (cột M)
B3: Xác định tại trường "Số TK chuyển" (cột H) để tìm được mã khách hàng
</t>
        </r>
      </text>
    </comment>
    <comment ref="L72" authorId="0">
      <text>
        <r>
          <rPr>
            <sz val="9"/>
            <color indexed="81"/>
            <rFont val="Tahoma"/>
            <family val="2"/>
          </rPr>
          <t xml:space="preserve">B1: Xuất dữ liệu từ Bill payment (list_transaction)
B2: Xác định theo mã 312,333,360,363,409 của trường "Mã DV" (cột M)
B3: Xác định tại trường "Số TK chuyển" (cột H) để tìm được mã khách hàng
</t>
        </r>
      </text>
    </comment>
    <comment ref="L73" authorId="0">
      <text>
        <r>
          <rPr>
            <sz val="9"/>
            <color indexed="81"/>
            <rFont val="Tahoma"/>
            <family val="2"/>
          </rPr>
          <t xml:space="preserve">Yêu cầu KHCN cung cấp danh sách khách hàng sử dụng (mã KH, TK nhận tiền) của toàn tỉnh
</t>
        </r>
      </text>
    </comment>
    <comment ref="L74" authorId="0">
      <text>
        <r>
          <rPr>
            <sz val="9"/>
            <color indexed="81"/>
            <rFont val="Tahoma"/>
            <family val="2"/>
          </rPr>
          <t xml:space="preserve">Yêu cầu KHCN cung cấp danh sách khách hàng sử dụng (mã KH, TK nhận tiền) của toàn tỉnh
</t>
        </r>
      </text>
    </comment>
    <comment ref="F76" authorId="0">
      <text>
        <r>
          <rPr>
            <sz val="9"/>
            <color indexed="81"/>
            <rFont val="Tahoma"/>
            <family val="2"/>
          </rPr>
          <t xml:space="preserve">TH1: Tổ chức tự đổ lương qua E-Banking: Không lấy
TH2: Tổ chức đổ trực tiếp từ TK vào TK người nhận lương (NH làm): Xác định được (TK KH phải mở tại Agribank Bắc Ninh)
TH3: Tổ chức chuyển sang TK trung gian đổ lương sau đó chuyển vào TK người nhận lương (NH làm): Xác định được (TK KH phải mở tại Agribank Bắc Ninh)
</t>
        </r>
      </text>
    </comment>
    <comment ref="F77" authorId="0">
      <text>
        <r>
          <rPr>
            <sz val="9"/>
            <color indexed="81"/>
            <rFont val="Tahoma"/>
            <family val="2"/>
          </rPr>
          <t xml:space="preserve">Yêu cầu các chi nhánh cung cấp danh sách khách hàng 
</t>
        </r>
      </text>
    </comment>
    <comment ref="K78" authorId="0">
      <text>
        <r>
          <rPr>
            <sz val="9"/>
            <color indexed="81"/>
            <rFont val="Tahoma"/>
            <family val="2"/>
          </rPr>
          <t xml:space="preserve">Yêu cầu KHCN cung cấp danh sách đơn vị CNT (mã KH, TK quẹt POS) của toàn tỉnh
</t>
        </r>
      </text>
    </comment>
    <comment ref="F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Nhặt trường CUSTYPE=570</t>
        </r>
      </text>
    </comment>
    <comment ref="M84" authorId="0">
      <text>
        <r>
          <rPr>
            <sz val="9"/>
            <color indexed="81"/>
            <rFont val="Tahoma"/>
            <family val="2"/>
          </rPr>
          <t xml:space="preserve">B1: Xuất dữ liệu từ Bill payment (list_transaction)
B2: Xác định theo mã 1218 của trường "Mã DV" (cột M)
B3: Tại trường "Số tiền" (cột I) xác định các món có số tiền "77.000"
B4: Xác định tại trường "Số TK chuyển" (cột H) để tìm được mã khách hàng
</t>
        </r>
      </text>
    </comment>
    <comment ref="M85" authorId="0">
      <text>
        <r>
          <rPr>
            <sz val="9"/>
            <color indexed="81"/>
            <rFont val="Tahoma"/>
            <family val="2"/>
          </rPr>
          <t xml:space="preserve">B1: Xuất dữ liệu từ Bill payment (list_transaction)
B2: Xác định theo mã 1218 của trường "Mã DV" (cột M)
B3: Tại trường "Số tiền" (cột I) xác định các món có số tiền tương ứng (18.000)
B4: Xác định tại trường "Số TK chuyển" (cột H) để tìm được mã khách hàng
</t>
        </r>
      </text>
    </comment>
    <comment ref="M88" authorId="0">
      <text>
        <r>
          <rPr>
            <sz val="9"/>
            <color indexed="81"/>
            <rFont val="Tahoma"/>
            <family val="2"/>
          </rPr>
          <t xml:space="preserve">Yêu cầu ABIC cung cấp danh sách, khách hàng xác định là người thanh toán dịch vụ (số TK, số điện thoại)
</t>
        </r>
      </text>
    </comment>
    <comment ref="M89" authorId="0">
      <text>
        <r>
          <rPr>
            <sz val="9"/>
            <color indexed="81"/>
            <rFont val="Tahoma"/>
            <family val="2"/>
          </rPr>
          <t>Yêu cầu ABIC cung cấp danh sách, khách hàng xác định là người thanh toán dịch vụ (số TK, số điện thoại)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1" authorId="0">
      <text>
        <r>
          <rPr>
            <sz val="9"/>
            <color indexed="81"/>
            <rFont val="Tahoma"/>
            <family val="2"/>
          </rPr>
          <t xml:space="preserve">Yêu cầu ABIC cung cấp danh sách, khách hàng xác định là người thanh toán dịch vụ (số TK, số điện thoại)
</t>
        </r>
      </text>
    </comment>
  </commentList>
</comments>
</file>

<file path=xl/sharedStrings.xml><?xml version="1.0" encoding="utf-8"?>
<sst xmlns="http://schemas.openxmlformats.org/spreadsheetml/2006/main" count="394" uniqueCount="237">
  <si>
    <t>III. CẤU TRÚC DATABASE</t>
  </si>
  <si>
    <t>STT</t>
  </si>
  <si>
    <t>Tên trường dữ liệu</t>
  </si>
  <si>
    <t>Nội dung</t>
  </si>
  <si>
    <t>Loại dữ liệu</t>
  </si>
  <si>
    <t>MCN</t>
  </si>
  <si>
    <t>Mã IPCAS chi nhánh</t>
  </si>
  <si>
    <t>C</t>
  </si>
  <si>
    <t>MPGD</t>
  </si>
  <si>
    <t>Mã IPCAS phòng giao dịch</t>
  </si>
  <si>
    <t>MKH</t>
  </si>
  <si>
    <t>Mã KH trên IPCAS</t>
  </si>
  <si>
    <t>TENKH</t>
  </si>
  <si>
    <t>Tên khách hàng (tổ chức, cá nhân)</t>
  </si>
  <si>
    <t>TEN_CHUDN</t>
  </si>
  <si>
    <t>Tên người đại diện theo pháp luật của doanh nghiệp, tổ chức, chủ hộ kinh doanh</t>
  </si>
  <si>
    <t>CCCD</t>
  </si>
  <si>
    <t>Số CCCD, Hộ chiếu của cá nhân, chủ doanh nghiệp</t>
  </si>
  <si>
    <t>MST</t>
  </si>
  <si>
    <t>Mã số thuế của cá nhân, hộ kinh doanh, doanh nghiệp, tổ chức khác</t>
  </si>
  <si>
    <t>NGAY_THANHLAP</t>
  </si>
  <si>
    <t>Ngày thành lập doanh nghiệp, tổ chức</t>
  </si>
  <si>
    <t>D</t>
  </si>
  <si>
    <t>DIACHI</t>
  </si>
  <si>
    <t>Địa chỉ của khách hàng</t>
  </si>
  <si>
    <t>LOAIKH</t>
  </si>
  <si>
    <t>N</t>
  </si>
  <si>
    <t>GIOITINH</t>
  </si>
  <si>
    <t>Giới tính của KH cá nhân, chủ doanh doanh nghiệp, tổ chức: Nam/Nu</t>
  </si>
  <si>
    <t>NAM_SINH</t>
  </si>
  <si>
    <t>Ngày tháng năm sinh của KH cá nhân, chủ doanh nghiệp, tổ chức</t>
  </si>
  <si>
    <t>NGHE NGHIEP</t>
  </si>
  <si>
    <t>DIEN_THOAI</t>
  </si>
  <si>
    <t>Số điện thoại liên hệ của khách hàng cá nhân, chủ doanh nghiệp, tổ chức</t>
  </si>
  <si>
    <t>NGAY_UPDATE</t>
  </si>
  <si>
    <t>Ngày phát sinh giao dịch gần nhất trên tài khoản thanh toán</t>
  </si>
  <si>
    <t>MACB</t>
  </si>
  <si>
    <t>Mã cán bộ được phân công quản lý KH trên IPCAS</t>
  </si>
  <si>
    <t>TENCB</t>
  </si>
  <si>
    <t>Tên cán bộ được phân công quản lý KH trên IPCAS</t>
  </si>
  <si>
    <t>TKTT1</t>
  </si>
  <si>
    <t>Số tài khoản thanh toán chính thứ nhất tại Agribank Chi nhánh Bắc Ninh</t>
  </si>
  <si>
    <t>TKTT2</t>
  </si>
  <si>
    <t>Số tài khoản thanh toán chính thứ hai (nếu có) tại Agribank Chi nhánh Bắc Ninh </t>
  </si>
  <si>
    <t>TKTT3</t>
  </si>
  <si>
    <t>Số tài khoản thanh toán chính thứ ba (nếu có) tại Agribank Chi nhánh Bắc Ninh</t>
  </si>
  <si>
    <t>SODU_TKTT </t>
  </si>
  <si>
    <t>Số dư tiền gửi thanh toán ngày cuối tháng của tất cả các tài khoản mở tại Agribank Chi nhánh Bắc Ninh </t>
  </si>
  <si>
    <t>SODU_TKTTBQ</t>
  </si>
  <si>
    <t>Số dư tiền gửi thanh toán bình quân trong tháng của tất cả các tài khoản mở tại Agribank Chi nhánh Bắc Ninh </t>
  </si>
  <si>
    <t>DS_TKTT</t>
  </si>
  <si>
    <t>DS_TTQT</t>
  </si>
  <si>
    <t>Doanh số thanh toán quốc tế (Đi + Đến) trong tháng</t>
  </si>
  <si>
    <t>DS_LC</t>
  </si>
  <si>
    <t>Doanh số thanh toán LC trong tháng</t>
  </si>
  <si>
    <t>DS_TTPOS</t>
  </si>
  <si>
    <t>Doanh số thanh toán qua POS trong tháng của ĐVCNT</t>
  </si>
  <si>
    <t>SODU_TGCKH</t>
  </si>
  <si>
    <t>Số dư tiền gửi có kỳ hạn ngày cuối tháng của tất cả các tài khoản mở tại Agribank Chi nhánh Bắc Ninh </t>
  </si>
  <si>
    <t>SODU_TGCKHBQ</t>
  </si>
  <si>
    <t>Số dư tiền gửi có kỳ hạn bình quân trong tháng của tất cả các tài khoản mở tại Agribank Chi nhánh Bắc Ninh </t>
  </si>
  <si>
    <t>DUNO_NHTT</t>
  </si>
  <si>
    <t>Số dư nợ vay ngắn hạn thông thường ngày cuối tháng</t>
  </si>
  <si>
    <t>DUNO_NHTTBQ</t>
  </si>
  <si>
    <t>Số dư nợ vay ngắn hạn thông thường bình quân trong tháng</t>
  </si>
  <si>
    <t>DUNO_TDHTT</t>
  </si>
  <si>
    <t>Số dư nợ vay trung, dài hạn thông thường ngày cuối tháng</t>
  </si>
  <si>
    <t>DUNO_TDHTTBQ</t>
  </si>
  <si>
    <t>Số dư nợ vay trung, dài hạn thông thường bình quân trong tháng</t>
  </si>
  <si>
    <t>DUNO_TC</t>
  </si>
  <si>
    <t>Số dư nợ vay thấu chi ngày cuối tháng</t>
  </si>
  <si>
    <t>DUNO_TCBQ</t>
  </si>
  <si>
    <t>Số dư nợ vay thấu chi bình quân trong tháng</t>
  </si>
  <si>
    <t>DUNO_XAU</t>
  </si>
  <si>
    <t>Số dư nợ xấu (Nhóm 3+4+5) của KH tại ngày cuối tháng</t>
  </si>
  <si>
    <t>DUNO_XAUBQ</t>
  </si>
  <si>
    <t>Số dư nợ xấu bình quân (Nhóm 3+4+5) của KH trong tháng</t>
  </si>
  <si>
    <t>DUNO_XLRR</t>
  </si>
  <si>
    <t>Số dư nợ XLRR của KH tại ngày cuối tháng</t>
  </si>
  <si>
    <t>DUNO_XLRRBQ</t>
  </si>
  <si>
    <t>Số dư nợ XLRR bình quân của KH trong tháng</t>
  </si>
  <si>
    <t>DPRR_TT</t>
  </si>
  <si>
    <t>Số tiền trích lập DPRR tín dụng của KH trong tháng</t>
  </si>
  <si>
    <t>DPRR_LK</t>
  </si>
  <si>
    <t>Số tiền trích lập DPRR tín dụng của KH luỹ kế đến cuối tháng</t>
  </si>
  <si>
    <t>FTP_DUNO</t>
  </si>
  <si>
    <t>FTP_NGUONVON</t>
  </si>
  <si>
    <t>Lợi ích thu được trong tháng từ hoạt động huy động vốn (Số tiền phí bán vốn cho TSC - Số tiền lãi tiền gửi trả cho KH)</t>
  </si>
  <si>
    <t>PHI_BAOLANH</t>
  </si>
  <si>
    <t>Phí bảo lãnh thu được của khách hàng trong tháng</t>
  </si>
  <si>
    <t>PHI_CHUYENTIEN</t>
  </si>
  <si>
    <t>Phí chuyển tiền thu được của khách hàng trong tháng</t>
  </si>
  <si>
    <t>PHI_KDNT</t>
  </si>
  <si>
    <t>Phí (lãi) mua bán ngoại tệ thu được của KH trong tháng.</t>
  </si>
  <si>
    <t>PHI_TTQT</t>
  </si>
  <si>
    <t>Phí TTQT thu được của khách hàng trong tháng</t>
  </si>
  <si>
    <t>PHI_LC</t>
  </si>
  <si>
    <t>Phí LC thu được của khách hàng trong tháng</t>
  </si>
  <si>
    <t>PHI_NHDT</t>
  </si>
  <si>
    <t>Phí dịch vụ ngân hàng điện tử (e-Banking, Agribank plus, OTT, SMS nhắc nợ, biến động số dư,...) thu được của khách hàng trong tháng</t>
  </si>
  <si>
    <t>PHI_THE</t>
  </si>
  <si>
    <t>Phí dịch vụ thẻ (Phát hành, rút tiền, POS,...) thu được của KH trong tháng</t>
  </si>
  <si>
    <t>PHI_POS</t>
  </si>
  <si>
    <t>Phí dịch vụ đơn vị chấp nhận thẻ thu được của khách hàng trong tháng</t>
  </si>
  <si>
    <t>PHI_KHAC</t>
  </si>
  <si>
    <t>Các loại phí dịch vụ khác (ngoài các loại phí trên) thu được của KH trong tháng</t>
  </si>
  <si>
    <t>TKSODEP</t>
  </si>
  <si>
    <t>KH đã và đang sử dụng dịch vụ tài khoản số đẹp = 1; chưa sử dụng = 0</t>
  </si>
  <si>
    <t>L</t>
  </si>
  <si>
    <t>AGRIBANKPLUS</t>
  </si>
  <si>
    <t>KH đã và đang sử dụng dịch vụ Agribank Plus = 1; chưa sử dụng = 0</t>
  </si>
  <si>
    <t>OTT</t>
  </si>
  <si>
    <t>KH đã và đang sử dụng dịch vụ OTT = 1; chưa sử dụng = 0</t>
  </si>
  <si>
    <t>EBANKING</t>
  </si>
  <si>
    <t>KH đã và đang sử dụng dịch vụ EBanking = 1; chưa sử dụng = 0</t>
  </si>
  <si>
    <t>SMS_TKTV</t>
  </si>
  <si>
    <t>KH đã và đang sử dụng dịch vụ nhắc nợ vay = 1; chưa sử dụng = 0</t>
  </si>
  <si>
    <t>SMS_TKTG</t>
  </si>
  <si>
    <t>KH đã và đang sử dụng dịch vụ nhắc nợ tiết kiệm = 1; chưa sử dụng = 0</t>
  </si>
  <si>
    <t>THE_GNND</t>
  </si>
  <si>
    <t>KH đã và đang sử dụng dịch vụ thẻ ghi nợ nội địa = 1; chưa sử dụng = 0</t>
  </si>
  <si>
    <t>THE_LOCVIET</t>
  </si>
  <si>
    <t>KH đã và đang sử dụng dịch vụ thẻ Lộc Việt = 1; chưa sử dụng = 0</t>
  </si>
  <si>
    <t>THE_GNQT</t>
  </si>
  <si>
    <t>KH đã và đang sử dụng dịch vụ thẻ ghi nợ quốc tế = 1; chưa sử dụng = 0</t>
  </si>
  <si>
    <t>THE_TDQT</t>
  </si>
  <si>
    <t>KH đã và đang sử dụng dịch vụ thẻ tín dụng quốc tế = 1; chưa sử dụng = 0</t>
  </si>
  <si>
    <t>THUHO_DIEN</t>
  </si>
  <si>
    <t>KH đã và đang sử dụng dịch vụ thu hộ  tiền điện = 1; chưa sử dụng = 0</t>
  </si>
  <si>
    <t>THUHO_NUOC</t>
  </si>
  <si>
    <t>KH đã và đang sử dụng dịch vụ thu hộ  tiền nước sạch = 1; chưa sử dụng = 0</t>
  </si>
  <si>
    <t>THUHO_DT</t>
  </si>
  <si>
    <t>THUHO_HOCPHI</t>
  </si>
  <si>
    <t>KH đã và đang sử dụng dịch vụ thu hộ  học phí = 1; chưa sử dụng = 0</t>
  </si>
  <si>
    <t>THUHO_VIENPHI</t>
  </si>
  <si>
    <t>KH đã và đang sử dụng dịch vụ thu hộ  viện phí = 1; chưa sử dụng = 0</t>
  </si>
  <si>
    <t>KIEUHOI</t>
  </si>
  <si>
    <t>KH đã và đang sử dụng dịch vụ chi trả kiều hối = 1; chưa sử dụng = 0</t>
  </si>
  <si>
    <t>CN_TRALUONG</t>
  </si>
  <si>
    <t>KH cá nhân đã và đang sử dụng dịch vụ trả lương qua tài khoản (thẻ) = 1; chưa sử dụng = 0</t>
  </si>
  <si>
    <t>PN_TRALUONG</t>
  </si>
  <si>
    <t>KH pháp nhân đã và đang sử dụng dịch vụ trả lương qua tài khoản (thẻ) = 1; chưa sử dụng = 0</t>
  </si>
  <si>
    <t>POS</t>
  </si>
  <si>
    <t>KH đã và đang sử dụng dịch vụ Đơn vị Chấp nhận thẻ POS = 1; chưa sử dụng = 0</t>
  </si>
  <si>
    <t>TTQT</t>
  </si>
  <si>
    <t>KH đã và đang sử dụng dịch vụ LC/TTQT/mua bán ngoại tệ  = 1; chưa sử dụng = 0</t>
  </si>
  <si>
    <t>LOATHANTAI</t>
  </si>
  <si>
    <t>KH đã và đang sử dụng dịch vụ Loa thần tài = 1; chưa sử dụng = 0</t>
  </si>
  <si>
    <t>HKD_TK</t>
  </si>
  <si>
    <t>KH đã và đang sử dụng dịch vụ tài khoản Hộ kinh doanh = 1; chưa sử dụng = 0</t>
  </si>
  <si>
    <t>HKD_ETAX</t>
  </si>
  <si>
    <t>KH đã và đang sử dụng dịch vụ phần mềm bán hàng (Etaxmobile) = 1; chưa sử dụng = 0</t>
  </si>
  <si>
    <t>ABIC_BATD</t>
  </si>
  <si>
    <t>KH đã và đang sử dụng dịch vụ bảo an tín dụng = 1; chưa sử dụng = 0</t>
  </si>
  <si>
    <t>ABIC_BATK</t>
  </si>
  <si>
    <t>KH đã và đang sử dụng dịch vụ bảo an tài khoản = 1; chưa sử dụng = 0</t>
  </si>
  <si>
    <t>ABIC_BATHE</t>
  </si>
  <si>
    <t>KH đã và đang sử dụng dịch vụ bảo an chủ thẻ = 1; chưa sử dụng = 0</t>
  </si>
  <si>
    <t>ABIC_BHTS</t>
  </si>
  <si>
    <t>KH đã và đang sử dụng dịch vụ bảo hiểm rủi ro tài sản, máy móc thiết bị, nhà xưởng, hàng hoá = 1; chưa sử dụng = 0</t>
  </si>
  <si>
    <t>ABIC_BHPC</t>
  </si>
  <si>
    <t>KH đã và đang sử dụng dịch vụ bảo hiểm Cháy nổ = 1; chưa sử dụng = 0</t>
  </si>
  <si>
    <t>ABIC_BHXM</t>
  </si>
  <si>
    <t>KH đã và đang sử dụng dịch vụ bảo hiểm xe máy = 1; chưa sử dụng = 0</t>
  </si>
  <si>
    <t>ABIC_BHOTO</t>
  </si>
  <si>
    <t>KH đã và đang sử dụng dịch vụ bảo hiểm ô tô = 1; chưa sử dụng = 0</t>
  </si>
  <si>
    <t>ABIC_BHNHAO</t>
  </si>
  <si>
    <t>ABIC_BHYT</t>
  </si>
  <si>
    <t>KH đã và đang sử dụng dịch vụ bảo hiểm y tế, sức khoẻ = 1; chưa sử dụng = 0</t>
  </si>
  <si>
    <t>Phân loại khách hành (lấy theo mã phân loại KH trong IPCAS: Doanh nghiệp, cá nhân, hộ kinh doanh, tổ chức khác,...)</t>
  </si>
  <si>
    <t>PHAN_LOAIKH</t>
  </si>
  <si>
    <t>Nghề nghiệp của KH cá nhân; Ngành nghề kinh doanh chính của doanh nghiệp, hộ kinh doanh</t>
  </si>
  <si>
    <t>Tiền vay</t>
  </si>
  <si>
    <t>Tiền gửi</t>
  </si>
  <si>
    <t>SPDV NHĐT</t>
  </si>
  <si>
    <t>x</t>
  </si>
  <si>
    <t>Phí thu được</t>
  </si>
  <si>
    <t>SP Thẻ</t>
  </si>
  <si>
    <t>Bill payment</t>
  </si>
  <si>
    <t>ABIC</t>
  </si>
  <si>
    <t>KDNH</t>
  </si>
  <si>
    <t>Thông tin KH</t>
  </si>
  <si>
    <t>*</t>
  </si>
  <si>
    <t>Tổng</t>
  </si>
  <si>
    <t>CIF</t>
  </si>
  <si>
    <t>PF14</t>
  </si>
  <si>
    <t>CN05</t>
  </si>
  <si>
    <t>CSSO01</t>
  </si>
  <si>
    <t>OABE</t>
  </si>
  <si>
    <t>DP01</t>
  </si>
  <si>
    <t>Trạng thái</t>
  </si>
  <si>
    <t>Tình trạng</t>
  </si>
  <si>
    <t>Mã</t>
  </si>
  <si>
    <t>Xác định rõ ràng</t>
  </si>
  <si>
    <t>Đang lựa chọn PA tốt nhất</t>
  </si>
  <si>
    <t>Hỏi cán bộ nghiệp vụ khác</t>
  </si>
  <si>
    <t>KHCN</t>
  </si>
  <si>
    <t>KH đã và đang sử dụng dịch vụ thu hộ  cước viễn thông = 1; chưa sử dụng = 0</t>
  </si>
  <si>
    <t>KH02</t>
  </si>
  <si>
    <t>KH đã và đang sử dụng dịch vụ bảo hiểm nhà ở tư nhân = 1; chưa sử dụng = 0</t>
  </si>
  <si>
    <t>Lấy theo IPCAS (SILVER, TITANIUM, GOLD, PLATINUM, THÂN THIẾT, PHỔ THÔNG)</t>
  </si>
  <si>
    <t>MSPL06</t>
  </si>
  <si>
    <t>LN01</t>
  </si>
  <si>
    <t>FTPLN</t>
  </si>
  <si>
    <t>RR01</t>
  </si>
  <si>
    <t>Lợi ích thu được trong tháng từ hoạt động cho vay (Số tiền lãi thu của KH - Số tiền phí mua vốn của TSC)</t>
  </si>
  <si>
    <t>KH02, 
FTPLN</t>
  </si>
  <si>
    <t>Doanh số chuyển tiền đến (PS có) của tất cả các TKTT mở tại Agribank Chi nhánh Bắc Ninh (Trong kỳ)</t>
  </si>
  <si>
    <t>BC29</t>
  </si>
  <si>
    <t>T1</t>
  </si>
  <si>
    <t>Dư nợ</t>
  </si>
  <si>
    <t>T2</t>
  </si>
  <si>
    <t>Trích trong kỳ</t>
  </si>
  <si>
    <t>Lũy kế</t>
  </si>
  <si>
    <t>T3</t>
  </si>
  <si>
    <t>T4</t>
  </si>
  <si>
    <t>T5</t>
  </si>
  <si>
    <t>T6</t>
  </si>
  <si>
    <t>DP chung</t>
  </si>
  <si>
    <t>DP cụ thể</t>
  </si>
  <si>
    <t>Nhảy nhóm 2 trong tháng</t>
  </si>
  <si>
    <t>40a</t>
  </si>
  <si>
    <t>40b</t>
  </si>
  <si>
    <t>Số tiền trích lập DPRR chung tín dụng của KH trong tháng</t>
  </si>
  <si>
    <t>Số tiền trích lập DPRR chung tín dụng của KH luỹ kế đến cuối tháng</t>
  </si>
  <si>
    <t>Số tiền trích lập DPRR cụ thể tín dụng của KH luỹ kế đến cuối tháng</t>
  </si>
  <si>
    <t>41a</t>
  </si>
  <si>
    <t>41b</t>
  </si>
  <si>
    <t>Số tiền trích lập DPRR cụ thể tín dụng của KH trong tháng</t>
  </si>
  <si>
    <t>GL02</t>
  </si>
  <si>
    <t>DPRR_CHUNG_TT</t>
  </si>
  <si>
    <t>DPRR_CUTHE_TT</t>
  </si>
  <si>
    <t>DPRR_CHUNG_LK</t>
  </si>
  <si>
    <t>DPRR_CUTHE_LK</t>
  </si>
  <si>
    <t>Bill</t>
  </si>
  <si>
    <t>Khai thác dữ liệu của ABIC</t>
  </si>
  <si>
    <t>Xin ý kiến tổ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</si>
</sst>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EE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081B3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0" borderId="0" xfId="0" applyFont="1"/>
    <xf numFmtId="164" fontId="12" fillId="0" borderId="0" xfId="1" applyNumberFormat="1" applyFont="1"/>
    <xf numFmtId="0" fontId="12" fillId="0" borderId="0" xfId="0" applyFont="1" applyAlignment="1">
      <alignment horizontal="center"/>
    </xf>
    <xf numFmtId="164" fontId="12" fillId="0" borderId="0" xfId="1" applyNumberFormat="1" applyFont="1" applyAlignment="1">
      <alignment horizontal="center"/>
    </xf>
    <xf numFmtId="0" fontId="3" fillId="5" borderId="1" xfId="0" applyFont="1" applyFill="1" applyBorder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N92"/>
  <sheetViews>
    <sheetView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RowHeight="18" x14ac:dyDescent="0.35"/>
  <cols>
    <col min="1" max="1" width="7" style="2" customWidth="1"/>
    <col min="2" max="2" width="23.44140625" customWidth="1"/>
    <col min="3" max="3" width="44" customWidth="1"/>
    <col min="4" max="4" width="8.88671875" customWidth="1"/>
    <col min="5" max="5" width="10.33203125" style="4" customWidth="1"/>
    <col min="6" max="6" width="10.88671875" style="4" customWidth="1"/>
    <col min="7" max="7" width="9.21875" style="4" customWidth="1"/>
    <col min="8" max="8" width="7" style="4" customWidth="1"/>
    <col min="9" max="11" width="8.88671875" style="4"/>
    <col min="12" max="12" width="10.77734375" style="4" customWidth="1"/>
    <col min="13" max="13" width="8.44140625" style="4" customWidth="1"/>
    <col min="14" max="14" width="12.33203125" style="22" customWidth="1"/>
  </cols>
  <sheetData>
    <row r="1" spans="1:14" ht="20.399999999999999" x14ac:dyDescent="0.35">
      <c r="A1" s="63" t="s">
        <v>0</v>
      </c>
      <c r="B1" s="63"/>
      <c r="C1" s="63"/>
      <c r="D1" s="63"/>
    </row>
    <row r="2" spans="1:14" x14ac:dyDescent="0.35">
      <c r="A2" s="1"/>
    </row>
    <row r="3" spans="1:14" ht="52.2" x14ac:dyDescent="0.3">
      <c r="A3" s="3" t="s">
        <v>1</v>
      </c>
      <c r="B3" s="3" t="s">
        <v>2</v>
      </c>
      <c r="C3" s="3" t="s">
        <v>3</v>
      </c>
      <c r="D3" s="3" t="s">
        <v>4</v>
      </c>
      <c r="E3" s="8" t="s">
        <v>181</v>
      </c>
      <c r="F3" s="8" t="s">
        <v>173</v>
      </c>
      <c r="G3" s="8" t="s">
        <v>172</v>
      </c>
      <c r="H3" s="8" t="s">
        <v>180</v>
      </c>
      <c r="I3" s="8" t="s">
        <v>176</v>
      </c>
      <c r="J3" s="8" t="s">
        <v>174</v>
      </c>
      <c r="K3" s="8" t="s">
        <v>177</v>
      </c>
      <c r="L3" s="8" t="s">
        <v>178</v>
      </c>
      <c r="M3" s="8" t="s">
        <v>179</v>
      </c>
      <c r="N3" s="8" t="s">
        <v>190</v>
      </c>
    </row>
    <row r="4" spans="1:14" s="17" customFormat="1" hidden="1" x14ac:dyDescent="0.3">
      <c r="A4" s="14">
        <v>1</v>
      </c>
      <c r="B4" s="15" t="s">
        <v>5</v>
      </c>
      <c r="C4" s="15" t="s">
        <v>6</v>
      </c>
      <c r="D4" s="14" t="s">
        <v>7</v>
      </c>
      <c r="E4" s="16" t="s">
        <v>184</v>
      </c>
      <c r="F4" s="16"/>
      <c r="G4" s="16"/>
      <c r="H4" s="16"/>
      <c r="I4" s="16"/>
      <c r="J4" s="16"/>
      <c r="K4" s="16"/>
      <c r="L4" s="16"/>
      <c r="M4" s="16"/>
      <c r="N4" s="50">
        <v>1</v>
      </c>
    </row>
    <row r="5" spans="1:14" s="17" customFormat="1" hidden="1" x14ac:dyDescent="0.3">
      <c r="A5" s="14">
        <v>2</v>
      </c>
      <c r="B5" s="15" t="s">
        <v>8</v>
      </c>
      <c r="C5" s="15" t="s">
        <v>9</v>
      </c>
      <c r="D5" s="14" t="s">
        <v>7</v>
      </c>
      <c r="E5" s="16" t="s">
        <v>184</v>
      </c>
      <c r="F5" s="16"/>
      <c r="G5" s="16"/>
      <c r="H5" s="16"/>
      <c r="I5" s="16"/>
      <c r="J5" s="16"/>
      <c r="K5" s="16"/>
      <c r="L5" s="16"/>
      <c r="M5" s="16"/>
      <c r="N5" s="50">
        <v>1</v>
      </c>
    </row>
    <row r="6" spans="1:14" s="17" customFormat="1" hidden="1" x14ac:dyDescent="0.3">
      <c r="A6" s="14">
        <v>3</v>
      </c>
      <c r="B6" s="15" t="s">
        <v>10</v>
      </c>
      <c r="C6" s="15" t="s">
        <v>11</v>
      </c>
      <c r="D6" s="14" t="s">
        <v>7</v>
      </c>
      <c r="E6" s="16" t="s">
        <v>184</v>
      </c>
      <c r="F6" s="16"/>
      <c r="G6" s="16"/>
      <c r="H6" s="16"/>
      <c r="I6" s="16"/>
      <c r="J6" s="16"/>
      <c r="K6" s="16"/>
      <c r="L6" s="16"/>
      <c r="M6" s="16"/>
      <c r="N6" s="50">
        <v>1</v>
      </c>
    </row>
    <row r="7" spans="1:14" s="17" customFormat="1" hidden="1" x14ac:dyDescent="0.3">
      <c r="A7" s="14">
        <v>4</v>
      </c>
      <c r="B7" s="15" t="s">
        <v>12</v>
      </c>
      <c r="C7" s="15" t="s">
        <v>13</v>
      </c>
      <c r="D7" s="14" t="s">
        <v>7</v>
      </c>
      <c r="E7" s="16" t="s">
        <v>184</v>
      </c>
      <c r="F7" s="16"/>
      <c r="G7" s="16"/>
      <c r="H7" s="16"/>
      <c r="I7" s="16"/>
      <c r="J7" s="16"/>
      <c r="K7" s="16"/>
      <c r="L7" s="16"/>
      <c r="M7" s="16"/>
      <c r="N7" s="50">
        <v>1</v>
      </c>
    </row>
    <row r="8" spans="1:14" s="40" customFormat="1" ht="54" hidden="1" x14ac:dyDescent="0.3">
      <c r="A8" s="36">
        <v>5</v>
      </c>
      <c r="B8" s="41" t="s">
        <v>14</v>
      </c>
      <c r="C8" s="41" t="s">
        <v>15</v>
      </c>
      <c r="D8" s="36" t="s">
        <v>7</v>
      </c>
      <c r="E8" s="39" t="s">
        <v>201</v>
      </c>
      <c r="F8" s="39"/>
      <c r="G8" s="39"/>
      <c r="H8" s="39"/>
      <c r="I8" s="39"/>
      <c r="J8" s="39"/>
      <c r="K8" s="39"/>
      <c r="L8" s="39"/>
      <c r="M8" s="39"/>
      <c r="N8" s="51">
        <v>2</v>
      </c>
    </row>
    <row r="9" spans="1:14" s="17" customFormat="1" ht="36" hidden="1" x14ac:dyDescent="0.3">
      <c r="A9" s="14">
        <v>6</v>
      </c>
      <c r="B9" s="18" t="s">
        <v>16</v>
      </c>
      <c r="C9" s="18" t="s">
        <v>17</v>
      </c>
      <c r="D9" s="19" t="s">
        <v>7</v>
      </c>
      <c r="E9" s="16" t="s">
        <v>184</v>
      </c>
      <c r="F9" s="16"/>
      <c r="G9" s="16"/>
      <c r="H9" s="16"/>
      <c r="I9" s="16"/>
      <c r="J9" s="16"/>
      <c r="K9" s="16"/>
      <c r="L9" s="16"/>
      <c r="M9" s="16"/>
      <c r="N9" s="50">
        <v>1</v>
      </c>
    </row>
    <row r="10" spans="1:14" s="17" customFormat="1" ht="36" hidden="1" x14ac:dyDescent="0.3">
      <c r="A10" s="14">
        <v>7</v>
      </c>
      <c r="B10" s="18" t="s">
        <v>18</v>
      </c>
      <c r="C10" s="18" t="s">
        <v>19</v>
      </c>
      <c r="D10" s="19" t="s">
        <v>7</v>
      </c>
      <c r="E10" s="16" t="s">
        <v>184</v>
      </c>
      <c r="F10" s="16"/>
      <c r="G10" s="16"/>
      <c r="H10" s="16"/>
      <c r="I10" s="16"/>
      <c r="J10" s="16"/>
      <c r="K10" s="16"/>
      <c r="L10" s="16"/>
      <c r="M10" s="16"/>
      <c r="N10" s="50">
        <v>1</v>
      </c>
    </row>
    <row r="11" spans="1:14" s="17" customFormat="1" hidden="1" x14ac:dyDescent="0.3">
      <c r="A11" s="14">
        <v>8</v>
      </c>
      <c r="B11" s="18" t="s">
        <v>20</v>
      </c>
      <c r="C11" s="18" t="s">
        <v>21</v>
      </c>
      <c r="D11" s="19" t="s">
        <v>22</v>
      </c>
      <c r="E11" s="16" t="s">
        <v>184</v>
      </c>
      <c r="F11" s="16"/>
      <c r="G11" s="16"/>
      <c r="H11" s="16"/>
      <c r="I11" s="16"/>
      <c r="J11" s="16"/>
      <c r="K11" s="16"/>
      <c r="L11" s="16"/>
      <c r="M11" s="16"/>
      <c r="N11" s="50">
        <v>1</v>
      </c>
    </row>
    <row r="12" spans="1:14" s="17" customFormat="1" hidden="1" x14ac:dyDescent="0.3">
      <c r="A12" s="14">
        <v>9</v>
      </c>
      <c r="B12" s="15" t="s">
        <v>23</v>
      </c>
      <c r="C12" s="15" t="s">
        <v>24</v>
      </c>
      <c r="D12" s="14" t="s">
        <v>7</v>
      </c>
      <c r="E12" s="16" t="s">
        <v>184</v>
      </c>
      <c r="F12" s="16"/>
      <c r="G12" s="16"/>
      <c r="H12" s="16"/>
      <c r="I12" s="16"/>
      <c r="J12" s="16"/>
      <c r="K12" s="16"/>
      <c r="L12" s="16"/>
      <c r="M12" s="16"/>
      <c r="N12" s="50">
        <v>1</v>
      </c>
    </row>
    <row r="13" spans="1:14" s="17" customFormat="1" ht="54" hidden="1" x14ac:dyDescent="0.3">
      <c r="A13" s="14">
        <v>10</v>
      </c>
      <c r="B13" s="15" t="s">
        <v>25</v>
      </c>
      <c r="C13" s="15" t="s">
        <v>169</v>
      </c>
      <c r="D13" s="14" t="s">
        <v>26</v>
      </c>
      <c r="E13" s="16" t="s">
        <v>184</v>
      </c>
      <c r="F13" s="16"/>
      <c r="G13" s="16"/>
      <c r="H13" s="16"/>
      <c r="I13" s="16"/>
      <c r="J13" s="16"/>
      <c r="K13" s="16"/>
      <c r="L13" s="16"/>
      <c r="M13" s="16"/>
      <c r="N13" s="50">
        <v>1</v>
      </c>
    </row>
    <row r="14" spans="1:14" s="40" customFormat="1" ht="54" hidden="1" x14ac:dyDescent="0.3">
      <c r="A14" s="36">
        <v>11</v>
      </c>
      <c r="B14" s="37" t="s">
        <v>170</v>
      </c>
      <c r="C14" s="37" t="s">
        <v>200</v>
      </c>
      <c r="D14" s="38" t="s">
        <v>7</v>
      </c>
      <c r="E14" s="39" t="s">
        <v>201</v>
      </c>
      <c r="F14" s="39"/>
      <c r="G14" s="39"/>
      <c r="H14" s="39"/>
      <c r="I14" s="39"/>
      <c r="J14" s="39"/>
      <c r="K14" s="39"/>
      <c r="L14" s="39"/>
      <c r="M14" s="39"/>
      <c r="N14" s="51">
        <v>2</v>
      </c>
    </row>
    <row r="15" spans="1:14" s="17" customFormat="1" ht="36" hidden="1" x14ac:dyDescent="0.3">
      <c r="A15" s="14">
        <v>12</v>
      </c>
      <c r="B15" s="15" t="s">
        <v>27</v>
      </c>
      <c r="C15" s="15" t="s">
        <v>28</v>
      </c>
      <c r="D15" s="19" t="s">
        <v>7</v>
      </c>
      <c r="E15" s="16" t="s">
        <v>184</v>
      </c>
      <c r="F15" s="16"/>
      <c r="G15" s="16"/>
      <c r="H15" s="16"/>
      <c r="I15" s="16"/>
      <c r="J15" s="16"/>
      <c r="K15" s="16"/>
      <c r="L15" s="16"/>
      <c r="M15" s="16"/>
      <c r="N15" s="50">
        <v>1</v>
      </c>
    </row>
    <row r="16" spans="1:14" s="17" customFormat="1" ht="36" hidden="1" x14ac:dyDescent="0.3">
      <c r="A16" s="14">
        <v>13</v>
      </c>
      <c r="B16" s="18" t="s">
        <v>29</v>
      </c>
      <c r="C16" s="18" t="s">
        <v>30</v>
      </c>
      <c r="D16" s="19" t="s">
        <v>22</v>
      </c>
      <c r="E16" s="16" t="s">
        <v>184</v>
      </c>
      <c r="F16" s="16"/>
      <c r="G16" s="16"/>
      <c r="H16" s="16"/>
      <c r="I16" s="16"/>
      <c r="J16" s="16"/>
      <c r="K16" s="16"/>
      <c r="L16" s="16"/>
      <c r="M16" s="16"/>
      <c r="N16" s="50">
        <v>1</v>
      </c>
    </row>
    <row r="17" spans="1:14" s="17" customFormat="1" ht="54" hidden="1" x14ac:dyDescent="0.3">
      <c r="A17" s="14">
        <v>14</v>
      </c>
      <c r="B17" s="18" t="s">
        <v>31</v>
      </c>
      <c r="C17" s="18" t="s">
        <v>171</v>
      </c>
      <c r="D17" s="19" t="s">
        <v>7</v>
      </c>
      <c r="E17" s="16" t="s">
        <v>184</v>
      </c>
      <c r="F17" s="16"/>
      <c r="G17" s="16"/>
      <c r="H17" s="16"/>
      <c r="I17" s="16"/>
      <c r="J17" s="16"/>
      <c r="K17" s="16"/>
      <c r="L17" s="16"/>
      <c r="M17" s="16"/>
      <c r="N17" s="50">
        <v>1</v>
      </c>
    </row>
    <row r="18" spans="1:14" s="40" customFormat="1" ht="36" hidden="1" x14ac:dyDescent="0.3">
      <c r="A18" s="36">
        <v>15</v>
      </c>
      <c r="B18" s="37" t="s">
        <v>32</v>
      </c>
      <c r="C18" s="37" t="s">
        <v>33</v>
      </c>
      <c r="D18" s="38" t="s">
        <v>7</v>
      </c>
      <c r="E18" s="39" t="s">
        <v>175</v>
      </c>
      <c r="F18" s="39"/>
      <c r="G18" s="39"/>
      <c r="H18" s="39"/>
      <c r="I18" s="39"/>
      <c r="J18" s="39"/>
      <c r="K18" s="39"/>
      <c r="L18" s="39"/>
      <c r="M18" s="39"/>
      <c r="N18" s="51">
        <v>2</v>
      </c>
    </row>
    <row r="19" spans="1:14" s="47" customFormat="1" ht="36" x14ac:dyDescent="0.3">
      <c r="A19" s="43">
        <v>16</v>
      </c>
      <c r="B19" s="60" t="s">
        <v>34</v>
      </c>
      <c r="C19" s="60" t="s">
        <v>35</v>
      </c>
      <c r="D19" s="65" t="s">
        <v>22</v>
      </c>
      <c r="E19" s="45"/>
      <c r="F19" s="45" t="s">
        <v>175</v>
      </c>
      <c r="G19" s="45"/>
      <c r="H19" s="45"/>
      <c r="I19" s="45"/>
      <c r="J19" s="45"/>
      <c r="K19" s="45"/>
      <c r="L19" s="45"/>
      <c r="M19" s="45"/>
      <c r="N19" s="46">
        <v>4</v>
      </c>
    </row>
    <row r="20" spans="1:14" s="34" customFormat="1" ht="36" hidden="1" x14ac:dyDescent="0.3">
      <c r="A20" s="32">
        <v>17</v>
      </c>
      <c r="B20" s="35" t="s">
        <v>36</v>
      </c>
      <c r="C20" s="35" t="s">
        <v>37</v>
      </c>
      <c r="D20" s="32" t="s">
        <v>7</v>
      </c>
      <c r="E20" s="33" t="s">
        <v>175</v>
      </c>
      <c r="F20" s="33"/>
      <c r="G20" s="33"/>
      <c r="H20" s="33"/>
      <c r="I20" s="33"/>
      <c r="J20" s="33"/>
      <c r="K20" s="33"/>
      <c r="L20" s="33"/>
      <c r="M20" s="33"/>
      <c r="N20" s="53">
        <v>3</v>
      </c>
    </row>
    <row r="21" spans="1:14" s="34" customFormat="1" ht="36" hidden="1" x14ac:dyDescent="0.3">
      <c r="A21" s="32">
        <v>18</v>
      </c>
      <c r="B21" s="35" t="s">
        <v>38</v>
      </c>
      <c r="C21" s="35" t="s">
        <v>39</v>
      </c>
      <c r="D21" s="32" t="s">
        <v>7</v>
      </c>
      <c r="E21" s="33" t="s">
        <v>175</v>
      </c>
      <c r="F21" s="33"/>
      <c r="G21" s="33"/>
      <c r="H21" s="33"/>
      <c r="I21" s="33"/>
      <c r="J21" s="33"/>
      <c r="K21" s="33"/>
      <c r="L21" s="33"/>
      <c r="M21" s="33"/>
      <c r="N21" s="53">
        <v>3</v>
      </c>
    </row>
    <row r="22" spans="1:14" s="34" customFormat="1" ht="36" hidden="1" x14ac:dyDescent="0.3">
      <c r="A22" s="32">
        <v>19</v>
      </c>
      <c r="B22" s="35" t="s">
        <v>40</v>
      </c>
      <c r="C22" s="35" t="s">
        <v>41</v>
      </c>
      <c r="D22" s="32" t="s">
        <v>7</v>
      </c>
      <c r="E22" s="33"/>
      <c r="F22" s="33" t="s">
        <v>175</v>
      </c>
      <c r="G22" s="33"/>
      <c r="H22" s="33"/>
      <c r="I22" s="33"/>
      <c r="J22" s="33"/>
      <c r="K22" s="33"/>
      <c r="L22" s="33"/>
      <c r="M22" s="33"/>
      <c r="N22" s="64">
        <v>3</v>
      </c>
    </row>
    <row r="23" spans="1:14" s="34" customFormat="1" ht="54" hidden="1" x14ac:dyDescent="0.3">
      <c r="A23" s="32">
        <v>20</v>
      </c>
      <c r="B23" s="35" t="s">
        <v>42</v>
      </c>
      <c r="C23" s="35" t="s">
        <v>43</v>
      </c>
      <c r="D23" s="32" t="s">
        <v>7</v>
      </c>
      <c r="E23" s="33"/>
      <c r="F23" s="33" t="s">
        <v>175</v>
      </c>
      <c r="G23" s="33"/>
      <c r="H23" s="33"/>
      <c r="I23" s="33"/>
      <c r="J23" s="33"/>
      <c r="K23" s="33"/>
      <c r="L23" s="33"/>
      <c r="M23" s="33"/>
      <c r="N23" s="64">
        <v>3</v>
      </c>
    </row>
    <row r="24" spans="1:14" s="34" customFormat="1" ht="54" hidden="1" x14ac:dyDescent="0.3">
      <c r="A24" s="32">
        <v>21</v>
      </c>
      <c r="B24" s="35" t="s">
        <v>44</v>
      </c>
      <c r="C24" s="35" t="s">
        <v>45</v>
      </c>
      <c r="D24" s="32" t="s">
        <v>7</v>
      </c>
      <c r="E24" s="33"/>
      <c r="F24" s="33" t="s">
        <v>175</v>
      </c>
      <c r="G24" s="33"/>
      <c r="H24" s="33"/>
      <c r="I24" s="33"/>
      <c r="J24" s="33"/>
      <c r="K24" s="33"/>
      <c r="L24" s="33"/>
      <c r="M24" s="33"/>
      <c r="N24" s="64">
        <v>3</v>
      </c>
    </row>
    <row r="25" spans="1:14" s="17" customFormat="1" ht="54" hidden="1" x14ac:dyDescent="0.3">
      <c r="A25" s="14">
        <v>22</v>
      </c>
      <c r="B25" s="15" t="s">
        <v>46</v>
      </c>
      <c r="C25" s="15" t="s">
        <v>47</v>
      </c>
      <c r="D25" s="14" t="s">
        <v>26</v>
      </c>
      <c r="E25" s="16"/>
      <c r="F25" s="16" t="s">
        <v>185</v>
      </c>
      <c r="G25" s="16"/>
      <c r="H25" s="16"/>
      <c r="I25" s="16"/>
      <c r="J25" s="16"/>
      <c r="K25" s="16"/>
      <c r="L25" s="16"/>
      <c r="M25" s="16"/>
      <c r="N25" s="25">
        <v>1</v>
      </c>
    </row>
    <row r="26" spans="1:14" s="17" customFormat="1" ht="54" hidden="1" x14ac:dyDescent="0.3">
      <c r="A26" s="14">
        <v>23</v>
      </c>
      <c r="B26" s="15" t="s">
        <v>48</v>
      </c>
      <c r="C26" s="15" t="s">
        <v>49</v>
      </c>
      <c r="D26" s="14" t="s">
        <v>26</v>
      </c>
      <c r="E26" s="16"/>
      <c r="F26" s="16" t="s">
        <v>185</v>
      </c>
      <c r="G26" s="16"/>
      <c r="H26" s="16"/>
      <c r="I26" s="16"/>
      <c r="J26" s="16"/>
      <c r="K26" s="16"/>
      <c r="L26" s="16"/>
      <c r="M26" s="16"/>
      <c r="N26" s="25">
        <v>1</v>
      </c>
    </row>
    <row r="27" spans="1:14" s="17" customFormat="1" ht="54" hidden="1" x14ac:dyDescent="0.3">
      <c r="A27" s="14">
        <v>24</v>
      </c>
      <c r="B27" s="15" t="s">
        <v>50</v>
      </c>
      <c r="C27" s="15" t="s">
        <v>207</v>
      </c>
      <c r="D27" s="14" t="s">
        <v>26</v>
      </c>
      <c r="E27" s="16"/>
      <c r="F27" s="16" t="s">
        <v>229</v>
      </c>
      <c r="G27" s="16"/>
      <c r="H27" s="16"/>
      <c r="I27" s="16"/>
      <c r="J27" s="16"/>
      <c r="K27" s="16"/>
      <c r="L27" s="16"/>
      <c r="M27" s="16"/>
      <c r="N27" s="25">
        <v>1</v>
      </c>
    </row>
    <row r="28" spans="1:14" s="47" customFormat="1" ht="36" x14ac:dyDescent="0.3">
      <c r="A28" s="43">
        <v>25</v>
      </c>
      <c r="B28" s="60" t="s">
        <v>51</v>
      </c>
      <c r="C28" s="60" t="s">
        <v>52</v>
      </c>
      <c r="D28" s="43" t="s">
        <v>26</v>
      </c>
      <c r="E28" s="45"/>
      <c r="F28" s="45"/>
      <c r="G28" s="45"/>
      <c r="H28" s="45" t="s">
        <v>175</v>
      </c>
      <c r="I28" s="45"/>
      <c r="J28" s="45"/>
      <c r="K28" s="45"/>
      <c r="L28" s="45"/>
      <c r="M28" s="45"/>
      <c r="N28" s="54">
        <v>4</v>
      </c>
    </row>
    <row r="29" spans="1:14" s="47" customFormat="1" ht="34.799999999999997" customHeight="1" x14ac:dyDescent="0.3">
      <c r="A29" s="43">
        <v>26</v>
      </c>
      <c r="B29" s="60" t="s">
        <v>53</v>
      </c>
      <c r="C29" s="60" t="s">
        <v>54</v>
      </c>
      <c r="D29" s="43" t="s">
        <v>26</v>
      </c>
      <c r="E29" s="45"/>
      <c r="F29" s="45"/>
      <c r="G29" s="45"/>
      <c r="H29" s="45" t="s">
        <v>175</v>
      </c>
      <c r="I29" s="45"/>
      <c r="J29" s="45"/>
      <c r="K29" s="45"/>
      <c r="L29" s="45"/>
      <c r="M29" s="45"/>
      <c r="N29" s="54">
        <v>4</v>
      </c>
    </row>
    <row r="30" spans="1:14" s="47" customFormat="1" ht="36" x14ac:dyDescent="0.3">
      <c r="A30" s="43">
        <v>27</v>
      </c>
      <c r="B30" s="60" t="s">
        <v>55</v>
      </c>
      <c r="C30" s="60" t="s">
        <v>56</v>
      </c>
      <c r="D30" s="43" t="s">
        <v>26</v>
      </c>
      <c r="E30" s="45"/>
      <c r="F30" s="45"/>
      <c r="G30" s="45"/>
      <c r="H30" s="45"/>
      <c r="I30" s="45"/>
      <c r="J30" s="45"/>
      <c r="K30" s="45" t="s">
        <v>175</v>
      </c>
      <c r="L30" s="45"/>
      <c r="M30" s="45"/>
      <c r="N30" s="54">
        <v>4</v>
      </c>
    </row>
    <row r="31" spans="1:14" s="17" customFormat="1" ht="54" hidden="1" x14ac:dyDescent="0.3">
      <c r="A31" s="14">
        <v>28</v>
      </c>
      <c r="B31" s="15" t="s">
        <v>57</v>
      </c>
      <c r="C31" s="15" t="s">
        <v>58</v>
      </c>
      <c r="D31" s="14" t="s">
        <v>26</v>
      </c>
      <c r="E31" s="16"/>
      <c r="F31" s="16" t="s">
        <v>185</v>
      </c>
      <c r="G31" s="16"/>
      <c r="H31" s="16"/>
      <c r="I31" s="16"/>
      <c r="J31" s="16"/>
      <c r="K31" s="16"/>
      <c r="L31" s="16"/>
      <c r="M31" s="16"/>
      <c r="N31" s="25">
        <v>1</v>
      </c>
    </row>
    <row r="32" spans="1:14" s="17" customFormat="1" ht="54" hidden="1" x14ac:dyDescent="0.3">
      <c r="A32" s="14">
        <v>29</v>
      </c>
      <c r="B32" s="15" t="s">
        <v>59</v>
      </c>
      <c r="C32" s="15" t="s">
        <v>60</v>
      </c>
      <c r="D32" s="14" t="s">
        <v>26</v>
      </c>
      <c r="E32" s="16"/>
      <c r="F32" s="16" t="s">
        <v>185</v>
      </c>
      <c r="G32" s="16"/>
      <c r="H32" s="16"/>
      <c r="I32" s="16"/>
      <c r="J32" s="16"/>
      <c r="K32" s="16"/>
      <c r="L32" s="16"/>
      <c r="M32" s="16"/>
      <c r="N32" s="25">
        <v>1</v>
      </c>
    </row>
    <row r="33" spans="1:14" s="17" customFormat="1" ht="36" hidden="1" x14ac:dyDescent="0.3">
      <c r="A33" s="14">
        <v>30</v>
      </c>
      <c r="B33" s="15" t="s">
        <v>61</v>
      </c>
      <c r="C33" s="15" t="s">
        <v>62</v>
      </c>
      <c r="D33" s="14" t="s">
        <v>26</v>
      </c>
      <c r="E33" s="16"/>
      <c r="F33" s="16"/>
      <c r="G33" s="16" t="s">
        <v>202</v>
      </c>
      <c r="H33" s="16"/>
      <c r="I33" s="16"/>
      <c r="J33" s="16"/>
      <c r="K33" s="16"/>
      <c r="L33" s="16"/>
      <c r="M33" s="16"/>
      <c r="N33" s="50">
        <v>1</v>
      </c>
    </row>
    <row r="34" spans="1:14" s="17" customFormat="1" ht="36" hidden="1" x14ac:dyDescent="0.3">
      <c r="A34" s="14">
        <v>31</v>
      </c>
      <c r="B34" s="15" t="s">
        <v>63</v>
      </c>
      <c r="C34" s="15" t="s">
        <v>64</v>
      </c>
      <c r="D34" s="14" t="s">
        <v>26</v>
      </c>
      <c r="E34" s="16"/>
      <c r="F34" s="16"/>
      <c r="G34" s="16" t="s">
        <v>203</v>
      </c>
      <c r="H34" s="16"/>
      <c r="I34" s="16"/>
      <c r="J34" s="16"/>
      <c r="K34" s="16"/>
      <c r="L34" s="16"/>
      <c r="M34" s="16"/>
      <c r="N34" s="50">
        <v>1</v>
      </c>
    </row>
    <row r="35" spans="1:14" s="17" customFormat="1" ht="36" hidden="1" x14ac:dyDescent="0.3">
      <c r="A35" s="14">
        <v>32</v>
      </c>
      <c r="B35" s="15" t="s">
        <v>65</v>
      </c>
      <c r="C35" s="15" t="s">
        <v>66</v>
      </c>
      <c r="D35" s="14" t="s">
        <v>26</v>
      </c>
      <c r="E35" s="16"/>
      <c r="F35" s="16"/>
      <c r="G35" s="16" t="s">
        <v>202</v>
      </c>
      <c r="H35" s="16"/>
      <c r="I35" s="16"/>
      <c r="J35" s="16"/>
      <c r="K35" s="16"/>
      <c r="L35" s="16"/>
      <c r="M35" s="16"/>
      <c r="N35" s="50">
        <v>1</v>
      </c>
    </row>
    <row r="36" spans="1:14" s="17" customFormat="1" ht="36" hidden="1" x14ac:dyDescent="0.3">
      <c r="A36" s="14">
        <v>33</v>
      </c>
      <c r="B36" s="15" t="s">
        <v>67</v>
      </c>
      <c r="C36" s="15" t="s">
        <v>68</v>
      </c>
      <c r="D36" s="14" t="s">
        <v>26</v>
      </c>
      <c r="E36" s="16"/>
      <c r="F36" s="16"/>
      <c r="G36" s="16" t="s">
        <v>203</v>
      </c>
      <c r="H36" s="16"/>
      <c r="I36" s="16"/>
      <c r="J36" s="16"/>
      <c r="K36" s="16"/>
      <c r="L36" s="16"/>
      <c r="M36" s="16"/>
      <c r="N36" s="50">
        <v>1</v>
      </c>
    </row>
    <row r="37" spans="1:14" s="17" customFormat="1" hidden="1" x14ac:dyDescent="0.3">
      <c r="A37" s="14">
        <v>34</v>
      </c>
      <c r="B37" s="15" t="s">
        <v>69</v>
      </c>
      <c r="C37" s="15" t="s">
        <v>70</v>
      </c>
      <c r="D37" s="14" t="s">
        <v>26</v>
      </c>
      <c r="E37" s="16"/>
      <c r="F37" s="16"/>
      <c r="G37" s="16" t="s">
        <v>202</v>
      </c>
      <c r="H37" s="16"/>
      <c r="I37" s="16"/>
      <c r="J37" s="16"/>
      <c r="K37" s="16"/>
      <c r="L37" s="16"/>
      <c r="M37" s="16"/>
      <c r="N37" s="50">
        <v>1</v>
      </c>
    </row>
    <row r="38" spans="1:14" s="17" customFormat="1" ht="36" hidden="1" x14ac:dyDescent="0.3">
      <c r="A38" s="14">
        <v>35</v>
      </c>
      <c r="B38" s="15" t="s">
        <v>71</v>
      </c>
      <c r="C38" s="15" t="s">
        <v>72</v>
      </c>
      <c r="D38" s="14" t="s">
        <v>26</v>
      </c>
      <c r="E38" s="16"/>
      <c r="F38" s="16"/>
      <c r="G38" s="16" t="s">
        <v>203</v>
      </c>
      <c r="H38" s="16"/>
      <c r="I38" s="16"/>
      <c r="J38" s="16"/>
      <c r="K38" s="16"/>
      <c r="L38" s="16"/>
      <c r="M38" s="16"/>
      <c r="N38" s="50">
        <v>1</v>
      </c>
    </row>
    <row r="39" spans="1:14" s="17" customFormat="1" ht="36" hidden="1" x14ac:dyDescent="0.3">
      <c r="A39" s="14">
        <v>36</v>
      </c>
      <c r="B39" s="15" t="s">
        <v>73</v>
      </c>
      <c r="C39" s="15" t="s">
        <v>74</v>
      </c>
      <c r="D39" s="14" t="s">
        <v>26</v>
      </c>
      <c r="E39" s="16"/>
      <c r="F39" s="16"/>
      <c r="G39" s="16" t="s">
        <v>202</v>
      </c>
      <c r="H39" s="16"/>
      <c r="I39" s="16"/>
      <c r="J39" s="16"/>
      <c r="K39" s="16"/>
      <c r="L39" s="16"/>
      <c r="M39" s="16"/>
      <c r="N39" s="50">
        <v>1</v>
      </c>
    </row>
    <row r="40" spans="1:14" s="17" customFormat="1" ht="36" hidden="1" x14ac:dyDescent="0.3">
      <c r="A40" s="14">
        <v>37</v>
      </c>
      <c r="B40" s="15" t="s">
        <v>75</v>
      </c>
      <c r="C40" s="15" t="s">
        <v>76</v>
      </c>
      <c r="D40" s="14" t="s">
        <v>26</v>
      </c>
      <c r="E40" s="16"/>
      <c r="F40" s="16"/>
      <c r="G40" s="16" t="s">
        <v>203</v>
      </c>
      <c r="H40" s="16"/>
      <c r="I40" s="16"/>
      <c r="J40" s="16"/>
      <c r="K40" s="16"/>
      <c r="L40" s="16"/>
      <c r="M40" s="16"/>
      <c r="N40" s="50">
        <v>1</v>
      </c>
    </row>
    <row r="41" spans="1:14" s="17" customFormat="1" ht="36" hidden="1" x14ac:dyDescent="0.3">
      <c r="A41" s="14">
        <v>38</v>
      </c>
      <c r="B41" s="15" t="s">
        <v>77</v>
      </c>
      <c r="C41" s="15" t="s">
        <v>78</v>
      </c>
      <c r="D41" s="14" t="s">
        <v>26</v>
      </c>
      <c r="E41" s="16"/>
      <c r="F41" s="16"/>
      <c r="G41" s="16" t="s">
        <v>204</v>
      </c>
      <c r="H41" s="16"/>
      <c r="I41" s="16"/>
      <c r="J41" s="16"/>
      <c r="K41" s="16"/>
      <c r="L41" s="16"/>
      <c r="M41" s="16"/>
      <c r="N41" s="50">
        <v>1</v>
      </c>
    </row>
    <row r="42" spans="1:14" s="34" customFormat="1" ht="36" hidden="1" x14ac:dyDescent="0.3">
      <c r="A42" s="32">
        <v>39</v>
      </c>
      <c r="B42" s="35" t="s">
        <v>79</v>
      </c>
      <c r="C42" s="35" t="s">
        <v>80</v>
      </c>
      <c r="D42" s="32" t="s">
        <v>26</v>
      </c>
      <c r="E42" s="33"/>
      <c r="F42" s="33"/>
      <c r="G42" s="33" t="s">
        <v>204</v>
      </c>
      <c r="H42" s="33"/>
      <c r="I42" s="33"/>
      <c r="J42" s="33"/>
      <c r="K42" s="33"/>
      <c r="L42" s="33"/>
      <c r="M42" s="33"/>
      <c r="N42" s="53">
        <v>3</v>
      </c>
    </row>
    <row r="43" spans="1:14" s="34" customFormat="1" ht="36" hidden="1" x14ac:dyDescent="0.3">
      <c r="A43" s="32">
        <v>40</v>
      </c>
      <c r="B43" s="35" t="s">
        <v>81</v>
      </c>
      <c r="C43" s="35" t="s">
        <v>82</v>
      </c>
      <c r="D43" s="32" t="s">
        <v>26</v>
      </c>
      <c r="E43" s="33"/>
      <c r="F43" s="33"/>
      <c r="G43" s="33" t="s">
        <v>175</v>
      </c>
      <c r="H43" s="33"/>
      <c r="I43" s="33"/>
      <c r="J43" s="33"/>
      <c r="K43" s="33"/>
      <c r="L43" s="33"/>
      <c r="M43" s="33"/>
      <c r="N43" s="53">
        <v>3</v>
      </c>
    </row>
    <row r="44" spans="1:14" s="34" customFormat="1" ht="36" hidden="1" x14ac:dyDescent="0.3">
      <c r="A44" s="32" t="s">
        <v>221</v>
      </c>
      <c r="B44" s="35" t="s">
        <v>230</v>
      </c>
      <c r="C44" s="35" t="s">
        <v>223</v>
      </c>
      <c r="D44" s="32" t="s">
        <v>26</v>
      </c>
      <c r="E44" s="33"/>
      <c r="F44" s="33"/>
      <c r="G44" s="33" t="s">
        <v>175</v>
      </c>
      <c r="H44" s="33"/>
      <c r="I44" s="33"/>
      <c r="J44" s="33"/>
      <c r="K44" s="33"/>
      <c r="L44" s="33"/>
      <c r="M44" s="33"/>
      <c r="N44" s="53">
        <v>3</v>
      </c>
    </row>
    <row r="45" spans="1:14" s="34" customFormat="1" ht="36" hidden="1" x14ac:dyDescent="0.3">
      <c r="A45" s="32" t="s">
        <v>222</v>
      </c>
      <c r="B45" s="35" t="s">
        <v>231</v>
      </c>
      <c r="C45" s="35" t="s">
        <v>228</v>
      </c>
      <c r="D45" s="32" t="s">
        <v>26</v>
      </c>
      <c r="E45" s="33"/>
      <c r="F45" s="33"/>
      <c r="G45" s="33" t="s">
        <v>208</v>
      </c>
      <c r="H45" s="33"/>
      <c r="I45" s="33"/>
      <c r="J45" s="33"/>
      <c r="K45" s="33"/>
      <c r="L45" s="33"/>
      <c r="M45" s="33"/>
      <c r="N45" s="53">
        <v>3</v>
      </c>
    </row>
    <row r="46" spans="1:14" s="34" customFormat="1" ht="36" hidden="1" x14ac:dyDescent="0.3">
      <c r="A46" s="32">
        <v>41</v>
      </c>
      <c r="B46" s="35" t="s">
        <v>83</v>
      </c>
      <c r="C46" s="35" t="s">
        <v>84</v>
      </c>
      <c r="D46" s="32" t="s">
        <v>26</v>
      </c>
      <c r="E46" s="33"/>
      <c r="F46" s="33"/>
      <c r="G46" s="33" t="s">
        <v>175</v>
      </c>
      <c r="H46" s="33"/>
      <c r="I46" s="33"/>
      <c r="J46" s="33"/>
      <c r="K46" s="33"/>
      <c r="L46" s="33"/>
      <c r="M46" s="33"/>
      <c r="N46" s="53">
        <v>3</v>
      </c>
    </row>
    <row r="47" spans="1:14" s="34" customFormat="1" ht="36" hidden="1" x14ac:dyDescent="0.3">
      <c r="A47" s="32" t="s">
        <v>226</v>
      </c>
      <c r="B47" s="35" t="s">
        <v>232</v>
      </c>
      <c r="C47" s="35" t="s">
        <v>224</v>
      </c>
      <c r="D47" s="32" t="s">
        <v>26</v>
      </c>
      <c r="E47" s="33"/>
      <c r="F47" s="33"/>
      <c r="G47" s="33" t="s">
        <v>175</v>
      </c>
      <c r="H47" s="33"/>
      <c r="I47" s="33"/>
      <c r="J47" s="33"/>
      <c r="K47" s="33"/>
      <c r="L47" s="33"/>
      <c r="M47" s="33"/>
      <c r="N47" s="53">
        <v>3</v>
      </c>
    </row>
    <row r="48" spans="1:14" s="34" customFormat="1" ht="36" hidden="1" x14ac:dyDescent="0.3">
      <c r="A48" s="32" t="s">
        <v>227</v>
      </c>
      <c r="B48" s="35" t="s">
        <v>233</v>
      </c>
      <c r="C48" s="35" t="s">
        <v>225</v>
      </c>
      <c r="D48" s="32" t="s">
        <v>26</v>
      </c>
      <c r="E48" s="33"/>
      <c r="F48" s="33"/>
      <c r="G48" s="33" t="s">
        <v>208</v>
      </c>
      <c r="H48" s="33"/>
      <c r="I48" s="33"/>
      <c r="J48" s="33"/>
      <c r="K48" s="33"/>
      <c r="L48" s="33"/>
      <c r="M48" s="33"/>
      <c r="N48" s="53">
        <v>3</v>
      </c>
    </row>
    <row r="49" spans="1:14" s="17" customFormat="1" ht="54" hidden="1" x14ac:dyDescent="0.3">
      <c r="A49" s="14">
        <v>42</v>
      </c>
      <c r="B49" s="15" t="s">
        <v>85</v>
      </c>
      <c r="C49" s="15" t="s">
        <v>205</v>
      </c>
      <c r="D49" s="14" t="s">
        <v>26</v>
      </c>
      <c r="E49" s="16"/>
      <c r="F49" s="16"/>
      <c r="G49" s="55" t="s">
        <v>206</v>
      </c>
      <c r="H49" s="16"/>
      <c r="I49" s="16"/>
      <c r="J49" s="16"/>
      <c r="K49" s="16"/>
      <c r="L49" s="16"/>
      <c r="M49" s="16"/>
      <c r="N49" s="50">
        <v>1</v>
      </c>
    </row>
    <row r="50" spans="1:14" s="47" customFormat="1" ht="72" x14ac:dyDescent="0.3">
      <c r="A50" s="43">
        <v>43</v>
      </c>
      <c r="B50" s="44" t="s">
        <v>86</v>
      </c>
      <c r="C50" s="44" t="s">
        <v>87</v>
      </c>
      <c r="D50" s="43" t="s">
        <v>26</v>
      </c>
      <c r="E50" s="45"/>
      <c r="F50" s="45" t="s">
        <v>175</v>
      </c>
      <c r="G50" s="45"/>
      <c r="H50" s="45"/>
      <c r="I50" s="45"/>
      <c r="J50" s="45"/>
      <c r="K50" s="45"/>
      <c r="L50" s="45"/>
      <c r="M50" s="45"/>
      <c r="N50" s="46">
        <v>4</v>
      </c>
    </row>
    <row r="51" spans="1:14" s="17" customFormat="1" ht="36" hidden="1" x14ac:dyDescent="0.3">
      <c r="A51" s="14">
        <v>44</v>
      </c>
      <c r="B51" s="15" t="s">
        <v>88</v>
      </c>
      <c r="C51" s="15" t="s">
        <v>89</v>
      </c>
      <c r="D51" s="14" t="s">
        <v>26</v>
      </c>
      <c r="E51" s="16"/>
      <c r="F51" s="16"/>
      <c r="G51" s="16"/>
      <c r="H51" s="16"/>
      <c r="I51" s="16" t="s">
        <v>198</v>
      </c>
      <c r="J51" s="16"/>
      <c r="K51" s="16"/>
      <c r="L51" s="16"/>
      <c r="M51" s="16"/>
      <c r="N51" s="50">
        <v>1</v>
      </c>
    </row>
    <row r="52" spans="1:14" s="17" customFormat="1" ht="36" hidden="1" x14ac:dyDescent="0.3">
      <c r="A52" s="14">
        <v>45</v>
      </c>
      <c r="B52" s="15" t="s">
        <v>90</v>
      </c>
      <c r="C52" s="15" t="s">
        <v>91</v>
      </c>
      <c r="D52" s="14" t="s">
        <v>26</v>
      </c>
      <c r="E52" s="16"/>
      <c r="F52" s="16"/>
      <c r="G52" s="16"/>
      <c r="H52" s="16"/>
      <c r="I52" s="16" t="s">
        <v>198</v>
      </c>
      <c r="J52" s="16"/>
      <c r="K52" s="16"/>
      <c r="L52" s="16"/>
      <c r="M52" s="16"/>
      <c r="N52" s="50">
        <v>1</v>
      </c>
    </row>
    <row r="53" spans="1:14" s="47" customFormat="1" ht="36" x14ac:dyDescent="0.3">
      <c r="A53" s="43">
        <v>46</v>
      </c>
      <c r="B53" s="44" t="s">
        <v>92</v>
      </c>
      <c r="C53" s="44" t="s">
        <v>93</v>
      </c>
      <c r="D53" s="43" t="s">
        <v>26</v>
      </c>
      <c r="E53" s="45"/>
      <c r="F53" s="45"/>
      <c r="G53" s="45"/>
      <c r="H53" s="45"/>
      <c r="I53" s="45" t="s">
        <v>175</v>
      </c>
      <c r="J53" s="45"/>
      <c r="K53" s="45"/>
      <c r="L53" s="45"/>
      <c r="M53" s="45"/>
      <c r="N53" s="54">
        <v>4</v>
      </c>
    </row>
    <row r="54" spans="1:14" s="47" customFormat="1" ht="36" x14ac:dyDescent="0.3">
      <c r="A54" s="43">
        <v>47</v>
      </c>
      <c r="B54" s="44" t="s">
        <v>94</v>
      </c>
      <c r="C54" s="44" t="s">
        <v>95</v>
      </c>
      <c r="D54" s="43" t="s">
        <v>26</v>
      </c>
      <c r="E54" s="45"/>
      <c r="F54" s="45"/>
      <c r="G54" s="45"/>
      <c r="H54" s="45"/>
      <c r="I54" s="45" t="s">
        <v>175</v>
      </c>
      <c r="J54" s="45"/>
      <c r="K54" s="45"/>
      <c r="L54" s="45"/>
      <c r="M54" s="45"/>
      <c r="N54" s="54">
        <v>4</v>
      </c>
    </row>
    <row r="55" spans="1:14" s="47" customFormat="1" ht="36" x14ac:dyDescent="0.3">
      <c r="A55" s="43">
        <v>48</v>
      </c>
      <c r="B55" s="60" t="s">
        <v>96</v>
      </c>
      <c r="C55" s="60" t="s">
        <v>97</v>
      </c>
      <c r="D55" s="43" t="s">
        <v>26</v>
      </c>
      <c r="E55" s="45"/>
      <c r="F55" s="45"/>
      <c r="G55" s="45"/>
      <c r="H55" s="45"/>
      <c r="I55" s="45" t="s">
        <v>175</v>
      </c>
      <c r="J55" s="45"/>
      <c r="K55" s="45"/>
      <c r="L55" s="45"/>
      <c r="M55" s="45"/>
      <c r="N55" s="54">
        <v>4</v>
      </c>
    </row>
    <row r="56" spans="1:14" s="40" customFormat="1" ht="72" hidden="1" x14ac:dyDescent="0.3">
      <c r="A56" s="36">
        <v>49</v>
      </c>
      <c r="B56" s="41" t="s">
        <v>98</v>
      </c>
      <c r="C56" s="41" t="s">
        <v>99</v>
      </c>
      <c r="D56" s="36" t="s">
        <v>26</v>
      </c>
      <c r="E56" s="39"/>
      <c r="F56" s="39"/>
      <c r="G56" s="39"/>
      <c r="H56" s="39"/>
      <c r="I56" s="39" t="s">
        <v>198</v>
      </c>
      <c r="J56" s="39"/>
      <c r="K56" s="39"/>
      <c r="L56" s="39"/>
      <c r="M56" s="39"/>
      <c r="N56" s="51">
        <v>2</v>
      </c>
    </row>
    <row r="57" spans="1:14" s="47" customFormat="1" ht="36" x14ac:dyDescent="0.3">
      <c r="A57" s="43">
        <v>50</v>
      </c>
      <c r="B57" s="44" t="s">
        <v>100</v>
      </c>
      <c r="C57" s="44" t="s">
        <v>101</v>
      </c>
      <c r="D57" s="43" t="s">
        <v>26</v>
      </c>
      <c r="E57" s="45"/>
      <c r="F57" s="45"/>
      <c r="G57" s="45"/>
      <c r="H57" s="45"/>
      <c r="I57" s="45" t="s">
        <v>175</v>
      </c>
      <c r="J57" s="45"/>
      <c r="K57" s="45"/>
      <c r="L57" s="45"/>
      <c r="M57" s="45"/>
      <c r="N57" s="54">
        <v>4</v>
      </c>
    </row>
    <row r="58" spans="1:14" s="47" customFormat="1" ht="36" x14ac:dyDescent="0.3">
      <c r="A58" s="43">
        <v>51</v>
      </c>
      <c r="B58" s="44" t="s">
        <v>102</v>
      </c>
      <c r="C58" s="44" t="s">
        <v>103</v>
      </c>
      <c r="D58" s="43" t="s">
        <v>26</v>
      </c>
      <c r="E58" s="45"/>
      <c r="F58" s="45"/>
      <c r="G58" s="45"/>
      <c r="H58" s="45"/>
      <c r="I58" s="45" t="s">
        <v>175</v>
      </c>
      <c r="J58" s="45"/>
      <c r="K58" s="45"/>
      <c r="L58" s="45"/>
      <c r="M58" s="45"/>
      <c r="N58" s="54">
        <v>4</v>
      </c>
    </row>
    <row r="59" spans="1:14" s="34" customFormat="1" ht="36" hidden="1" x14ac:dyDescent="0.3">
      <c r="A59" s="32">
        <v>52</v>
      </c>
      <c r="B59" s="35" t="s">
        <v>104</v>
      </c>
      <c r="C59" s="35" t="s">
        <v>105</v>
      </c>
      <c r="D59" s="32" t="s">
        <v>26</v>
      </c>
      <c r="E59" s="33"/>
      <c r="F59" s="33"/>
      <c r="G59" s="33"/>
      <c r="H59" s="33"/>
      <c r="I59" s="33" t="s">
        <v>175</v>
      </c>
      <c r="J59" s="33"/>
      <c r="K59" s="33"/>
      <c r="L59" s="33"/>
      <c r="M59" s="33"/>
      <c r="N59" s="53">
        <v>3</v>
      </c>
    </row>
    <row r="60" spans="1:14" s="17" customFormat="1" ht="36" hidden="1" x14ac:dyDescent="0.3">
      <c r="A60" s="14">
        <v>53</v>
      </c>
      <c r="B60" s="15" t="s">
        <v>106</v>
      </c>
      <c r="C60" s="15" t="s">
        <v>107</v>
      </c>
      <c r="D60" s="14" t="s">
        <v>108</v>
      </c>
      <c r="E60" s="16"/>
      <c r="F60" s="16" t="s">
        <v>186</v>
      </c>
      <c r="G60" s="16"/>
      <c r="H60" s="16"/>
      <c r="I60" s="16"/>
      <c r="J60" s="16"/>
      <c r="K60" s="16"/>
      <c r="L60" s="16"/>
      <c r="M60" s="16"/>
      <c r="N60" s="25">
        <v>1</v>
      </c>
    </row>
    <row r="61" spans="1:14" s="17" customFormat="1" ht="36" hidden="1" x14ac:dyDescent="0.3">
      <c r="A61" s="14">
        <v>54</v>
      </c>
      <c r="B61" s="15" t="s">
        <v>109</v>
      </c>
      <c r="C61" s="15" t="s">
        <v>110</v>
      </c>
      <c r="D61" s="14" t="s">
        <v>108</v>
      </c>
      <c r="E61" s="16"/>
      <c r="F61" s="16"/>
      <c r="G61" s="16"/>
      <c r="H61" s="16"/>
      <c r="I61" s="16"/>
      <c r="J61" s="16" t="s">
        <v>186</v>
      </c>
      <c r="K61" s="16"/>
      <c r="L61" s="16"/>
      <c r="M61" s="16"/>
      <c r="N61" s="50">
        <v>1</v>
      </c>
    </row>
    <row r="62" spans="1:14" s="17" customFormat="1" ht="36" hidden="1" x14ac:dyDescent="0.3">
      <c r="A62" s="14">
        <v>55</v>
      </c>
      <c r="B62" s="15" t="s">
        <v>111</v>
      </c>
      <c r="C62" s="15" t="s">
        <v>112</v>
      </c>
      <c r="D62" s="14" t="s">
        <v>108</v>
      </c>
      <c r="E62" s="16"/>
      <c r="F62" s="16"/>
      <c r="G62" s="16"/>
      <c r="H62" s="16"/>
      <c r="I62" s="16"/>
      <c r="J62" s="16" t="s">
        <v>186</v>
      </c>
      <c r="K62" s="16"/>
      <c r="L62" s="16"/>
      <c r="M62" s="16"/>
      <c r="N62" s="50">
        <v>1</v>
      </c>
    </row>
    <row r="63" spans="1:14" s="17" customFormat="1" ht="36" hidden="1" x14ac:dyDescent="0.3">
      <c r="A63" s="14">
        <v>56</v>
      </c>
      <c r="B63" s="15" t="s">
        <v>113</v>
      </c>
      <c r="C63" s="15" t="s">
        <v>114</v>
      </c>
      <c r="D63" s="14" t="s">
        <v>108</v>
      </c>
      <c r="E63" s="16"/>
      <c r="F63" s="16"/>
      <c r="G63" s="16"/>
      <c r="H63" s="16"/>
      <c r="I63" s="16"/>
      <c r="J63" s="16" t="s">
        <v>186</v>
      </c>
      <c r="K63" s="16"/>
      <c r="L63" s="16"/>
      <c r="M63" s="16"/>
      <c r="N63" s="50">
        <v>1</v>
      </c>
    </row>
    <row r="64" spans="1:14" s="17" customFormat="1" ht="36" hidden="1" x14ac:dyDescent="0.3">
      <c r="A64" s="14">
        <v>57</v>
      </c>
      <c r="B64" s="15" t="s">
        <v>115</v>
      </c>
      <c r="C64" s="15" t="s">
        <v>116</v>
      </c>
      <c r="D64" s="14" t="s">
        <v>108</v>
      </c>
      <c r="E64" s="16"/>
      <c r="F64" s="16"/>
      <c r="G64" s="16"/>
      <c r="H64" s="16"/>
      <c r="I64" s="16"/>
      <c r="J64" s="16" t="s">
        <v>186</v>
      </c>
      <c r="K64" s="16"/>
      <c r="L64" s="16"/>
      <c r="M64" s="16"/>
      <c r="N64" s="50">
        <v>1</v>
      </c>
    </row>
    <row r="65" spans="1:14" s="17" customFormat="1" ht="36" hidden="1" x14ac:dyDescent="0.3">
      <c r="A65" s="14">
        <v>58</v>
      </c>
      <c r="B65" s="15" t="s">
        <v>117</v>
      </c>
      <c r="C65" s="15" t="s">
        <v>118</v>
      </c>
      <c r="D65" s="14" t="s">
        <v>108</v>
      </c>
      <c r="E65" s="16"/>
      <c r="F65" s="16"/>
      <c r="G65" s="16"/>
      <c r="H65" s="16"/>
      <c r="I65" s="16"/>
      <c r="J65" s="16" t="s">
        <v>186</v>
      </c>
      <c r="K65" s="16"/>
      <c r="L65" s="16"/>
      <c r="M65" s="16"/>
      <c r="N65" s="50">
        <v>1</v>
      </c>
    </row>
    <row r="66" spans="1:14" s="17" customFormat="1" ht="36" hidden="1" x14ac:dyDescent="0.3">
      <c r="A66" s="14">
        <v>59</v>
      </c>
      <c r="B66" s="15" t="s">
        <v>119</v>
      </c>
      <c r="C66" s="15" t="s">
        <v>120</v>
      </c>
      <c r="D66" s="14" t="s">
        <v>108</v>
      </c>
      <c r="E66" s="16"/>
      <c r="F66" s="16"/>
      <c r="G66" s="16"/>
      <c r="H66" s="16"/>
      <c r="I66" s="16"/>
      <c r="J66" s="16"/>
      <c r="K66" s="16" t="s">
        <v>186</v>
      </c>
      <c r="L66" s="16"/>
      <c r="M66" s="16"/>
      <c r="N66" s="50">
        <v>1</v>
      </c>
    </row>
    <row r="67" spans="1:14" s="17" customFormat="1" ht="36" hidden="1" x14ac:dyDescent="0.3">
      <c r="A67" s="14">
        <v>60</v>
      </c>
      <c r="B67" s="15" t="s">
        <v>121</v>
      </c>
      <c r="C67" s="15" t="s">
        <v>122</v>
      </c>
      <c r="D67" s="14" t="s">
        <v>108</v>
      </c>
      <c r="E67" s="16"/>
      <c r="F67" s="16"/>
      <c r="G67" s="16"/>
      <c r="H67" s="16"/>
      <c r="I67" s="16"/>
      <c r="J67" s="16"/>
      <c r="K67" s="16" t="s">
        <v>186</v>
      </c>
      <c r="L67" s="16"/>
      <c r="M67" s="16"/>
      <c r="N67" s="50">
        <v>1</v>
      </c>
    </row>
    <row r="68" spans="1:14" s="17" customFormat="1" ht="36" hidden="1" x14ac:dyDescent="0.3">
      <c r="A68" s="14">
        <v>61</v>
      </c>
      <c r="B68" s="15" t="s">
        <v>123</v>
      </c>
      <c r="C68" s="15" t="s">
        <v>124</v>
      </c>
      <c r="D68" s="14" t="s">
        <v>108</v>
      </c>
      <c r="E68" s="16"/>
      <c r="F68" s="16"/>
      <c r="G68" s="16"/>
      <c r="H68" s="16"/>
      <c r="I68" s="16"/>
      <c r="J68" s="16"/>
      <c r="K68" s="16" t="s">
        <v>186</v>
      </c>
      <c r="L68" s="16"/>
      <c r="M68" s="16"/>
      <c r="N68" s="50">
        <v>1</v>
      </c>
    </row>
    <row r="69" spans="1:14" s="17" customFormat="1" ht="36" hidden="1" x14ac:dyDescent="0.3">
      <c r="A69" s="14">
        <v>62</v>
      </c>
      <c r="B69" s="15" t="s">
        <v>125</v>
      </c>
      <c r="C69" s="15" t="s">
        <v>126</v>
      </c>
      <c r="D69" s="14" t="s">
        <v>108</v>
      </c>
      <c r="E69" s="16"/>
      <c r="F69" s="16"/>
      <c r="G69" s="16"/>
      <c r="H69" s="16"/>
      <c r="I69" s="16"/>
      <c r="J69" s="16"/>
      <c r="K69" s="16" t="s">
        <v>186</v>
      </c>
      <c r="L69" s="16"/>
      <c r="M69" s="16"/>
      <c r="N69" s="50">
        <v>1</v>
      </c>
    </row>
    <row r="70" spans="1:14" s="17" customFormat="1" ht="36" hidden="1" x14ac:dyDescent="0.3">
      <c r="A70" s="14">
        <v>63</v>
      </c>
      <c r="B70" s="15" t="s">
        <v>127</v>
      </c>
      <c r="C70" s="15" t="s">
        <v>128</v>
      </c>
      <c r="D70" s="14" t="s">
        <v>108</v>
      </c>
      <c r="E70" s="16"/>
      <c r="F70" s="16"/>
      <c r="G70" s="16"/>
      <c r="H70" s="16"/>
      <c r="I70" s="16"/>
      <c r="J70" s="16"/>
      <c r="K70" s="16"/>
      <c r="L70" s="16" t="s">
        <v>234</v>
      </c>
      <c r="M70" s="16"/>
      <c r="N70" s="50">
        <v>1</v>
      </c>
    </row>
    <row r="71" spans="1:14" s="17" customFormat="1" ht="36" hidden="1" x14ac:dyDescent="0.3">
      <c r="A71" s="14">
        <v>64</v>
      </c>
      <c r="B71" s="15" t="s">
        <v>129</v>
      </c>
      <c r="C71" s="15" t="s">
        <v>130</v>
      </c>
      <c r="D71" s="14" t="s">
        <v>108</v>
      </c>
      <c r="E71" s="16"/>
      <c r="F71" s="16"/>
      <c r="G71" s="16"/>
      <c r="H71" s="16"/>
      <c r="I71" s="16"/>
      <c r="J71" s="16"/>
      <c r="K71" s="16"/>
      <c r="L71" s="16" t="s">
        <v>234</v>
      </c>
      <c r="M71" s="16"/>
      <c r="N71" s="50">
        <v>1</v>
      </c>
    </row>
    <row r="72" spans="1:14" s="17" customFormat="1" ht="36" hidden="1" x14ac:dyDescent="0.3">
      <c r="A72" s="14">
        <v>65</v>
      </c>
      <c r="B72" s="15" t="s">
        <v>131</v>
      </c>
      <c r="C72" s="15" t="s">
        <v>197</v>
      </c>
      <c r="D72" s="14" t="s">
        <v>108</v>
      </c>
      <c r="E72" s="16"/>
      <c r="F72" s="16"/>
      <c r="G72" s="16"/>
      <c r="H72" s="16"/>
      <c r="I72" s="16"/>
      <c r="J72" s="16"/>
      <c r="K72" s="16"/>
      <c r="L72" s="16" t="s">
        <v>234</v>
      </c>
      <c r="M72" s="16"/>
      <c r="N72" s="50">
        <v>1</v>
      </c>
    </row>
    <row r="73" spans="1:14" s="17" customFormat="1" ht="36" hidden="1" x14ac:dyDescent="0.3">
      <c r="A73" s="14">
        <v>66</v>
      </c>
      <c r="B73" s="15" t="s">
        <v>132</v>
      </c>
      <c r="C73" s="15" t="s">
        <v>133</v>
      </c>
      <c r="D73" s="14" t="s">
        <v>108</v>
      </c>
      <c r="E73" s="16"/>
      <c r="F73" s="16"/>
      <c r="G73" s="16"/>
      <c r="H73" s="16"/>
      <c r="I73" s="16"/>
      <c r="J73" s="16"/>
      <c r="K73" s="16"/>
      <c r="L73" s="16" t="s">
        <v>196</v>
      </c>
      <c r="M73" s="16"/>
      <c r="N73" s="50">
        <v>1</v>
      </c>
    </row>
    <row r="74" spans="1:14" s="17" customFormat="1" ht="36" hidden="1" x14ac:dyDescent="0.3">
      <c r="A74" s="14">
        <v>67</v>
      </c>
      <c r="B74" s="15" t="s">
        <v>134</v>
      </c>
      <c r="C74" s="15" t="s">
        <v>135</v>
      </c>
      <c r="D74" s="14" t="s">
        <v>108</v>
      </c>
      <c r="E74" s="16"/>
      <c r="F74" s="16"/>
      <c r="G74" s="16"/>
      <c r="H74" s="16"/>
      <c r="I74" s="16"/>
      <c r="J74" s="16"/>
      <c r="K74" s="16"/>
      <c r="L74" s="16" t="s">
        <v>196</v>
      </c>
      <c r="M74" s="16"/>
      <c r="N74" s="50">
        <v>1</v>
      </c>
    </row>
    <row r="75" spans="1:14" s="47" customFormat="1" ht="36" x14ac:dyDescent="0.3">
      <c r="A75" s="43">
        <v>68</v>
      </c>
      <c r="B75" s="44" t="s">
        <v>136</v>
      </c>
      <c r="C75" s="44" t="s">
        <v>137</v>
      </c>
      <c r="D75" s="43" t="s">
        <v>108</v>
      </c>
      <c r="E75" s="45"/>
      <c r="F75" s="45"/>
      <c r="G75" s="45"/>
      <c r="H75" s="45" t="s">
        <v>175</v>
      </c>
      <c r="I75" s="45"/>
      <c r="J75" s="45"/>
      <c r="K75" s="45"/>
      <c r="L75" s="45"/>
      <c r="M75" s="45"/>
      <c r="N75" s="54">
        <v>4</v>
      </c>
    </row>
    <row r="76" spans="1:14" s="40" customFormat="1" ht="54" hidden="1" x14ac:dyDescent="0.3">
      <c r="A76" s="36">
        <v>69</v>
      </c>
      <c r="B76" s="41" t="s">
        <v>138</v>
      </c>
      <c r="C76" s="41" t="s">
        <v>139</v>
      </c>
      <c r="D76" s="36" t="s">
        <v>108</v>
      </c>
      <c r="E76" s="39"/>
      <c r="F76" s="39" t="s">
        <v>187</v>
      </c>
      <c r="G76" s="39"/>
      <c r="H76" s="39"/>
      <c r="I76" s="39"/>
      <c r="J76" s="39"/>
      <c r="K76" s="39"/>
      <c r="L76" s="39"/>
      <c r="M76" s="39"/>
      <c r="N76" s="42">
        <v>2</v>
      </c>
    </row>
    <row r="77" spans="1:14" s="17" customFormat="1" ht="54" hidden="1" x14ac:dyDescent="0.3">
      <c r="A77" s="14">
        <v>70</v>
      </c>
      <c r="B77" s="15" t="s">
        <v>140</v>
      </c>
      <c r="C77" s="15" t="s">
        <v>141</v>
      </c>
      <c r="D77" s="14" t="s">
        <v>108</v>
      </c>
      <c r="E77" s="16"/>
      <c r="F77" s="16" t="s">
        <v>175</v>
      </c>
      <c r="G77" s="16"/>
      <c r="H77" s="16"/>
      <c r="I77" s="16"/>
      <c r="J77" s="16"/>
      <c r="K77" s="16"/>
      <c r="L77" s="16"/>
      <c r="M77" s="16"/>
      <c r="N77" s="25">
        <v>1</v>
      </c>
    </row>
    <row r="78" spans="1:14" s="17" customFormat="1" ht="54" hidden="1" x14ac:dyDescent="0.3">
      <c r="A78" s="14">
        <v>71</v>
      </c>
      <c r="B78" s="15" t="s">
        <v>142</v>
      </c>
      <c r="C78" s="15" t="s">
        <v>143</v>
      </c>
      <c r="D78" s="14" t="s">
        <v>108</v>
      </c>
      <c r="E78" s="16"/>
      <c r="F78" s="16"/>
      <c r="G78" s="16"/>
      <c r="H78" s="16"/>
      <c r="I78" s="16"/>
      <c r="J78" s="16"/>
      <c r="K78" s="16" t="s">
        <v>196</v>
      </c>
      <c r="L78" s="16"/>
      <c r="M78" s="16"/>
      <c r="N78" s="50">
        <v>1</v>
      </c>
    </row>
    <row r="79" spans="1:14" s="47" customFormat="1" ht="54" x14ac:dyDescent="0.3">
      <c r="A79" s="43">
        <v>72</v>
      </c>
      <c r="B79" s="44" t="s">
        <v>144</v>
      </c>
      <c r="C79" s="44" t="s">
        <v>145</v>
      </c>
      <c r="D79" s="43" t="s">
        <v>108</v>
      </c>
      <c r="E79" s="45"/>
      <c r="F79" s="45"/>
      <c r="G79" s="45"/>
      <c r="H79" s="45" t="s">
        <v>175</v>
      </c>
      <c r="I79" s="45"/>
      <c r="J79" s="45"/>
      <c r="K79" s="45"/>
      <c r="L79" s="45"/>
      <c r="M79" s="45"/>
      <c r="N79" s="54">
        <v>4</v>
      </c>
    </row>
    <row r="80" spans="1:14" s="17" customFormat="1" ht="36" hidden="1" x14ac:dyDescent="0.3">
      <c r="A80" s="14">
        <v>73</v>
      </c>
      <c r="B80" s="15" t="s">
        <v>146</v>
      </c>
      <c r="C80" s="15" t="s">
        <v>147</v>
      </c>
      <c r="D80" s="14" t="s">
        <v>108</v>
      </c>
      <c r="E80" s="16"/>
      <c r="F80" s="16" t="s">
        <v>188</v>
      </c>
      <c r="G80" s="16"/>
      <c r="H80" s="16"/>
      <c r="I80" s="16"/>
      <c r="J80" s="16"/>
      <c r="K80" s="16"/>
      <c r="L80" s="16"/>
      <c r="M80" s="16"/>
      <c r="N80" s="25">
        <v>1</v>
      </c>
    </row>
    <row r="81" spans="1:14" s="17" customFormat="1" ht="54" hidden="1" x14ac:dyDescent="0.3">
      <c r="A81" s="14">
        <v>74</v>
      </c>
      <c r="B81" s="15" t="s">
        <v>148</v>
      </c>
      <c r="C81" s="15" t="s">
        <v>149</v>
      </c>
      <c r="D81" s="14" t="s">
        <v>108</v>
      </c>
      <c r="E81" s="16"/>
      <c r="F81" s="16" t="s">
        <v>189</v>
      </c>
      <c r="G81" s="16"/>
      <c r="H81" s="16"/>
      <c r="I81" s="16"/>
      <c r="J81" s="16"/>
      <c r="K81" s="16"/>
      <c r="L81" s="16"/>
      <c r="M81" s="16"/>
      <c r="N81" s="25">
        <v>1</v>
      </c>
    </row>
    <row r="82" spans="1:14" s="47" customFormat="1" ht="54" x14ac:dyDescent="0.3">
      <c r="A82" s="43">
        <v>75</v>
      </c>
      <c r="B82" s="44" t="s">
        <v>150</v>
      </c>
      <c r="C82" s="44" t="s">
        <v>151</v>
      </c>
      <c r="D82" s="43" t="s">
        <v>108</v>
      </c>
      <c r="E82" s="45"/>
      <c r="F82" s="45" t="s">
        <v>175</v>
      </c>
      <c r="G82" s="45"/>
      <c r="H82" s="45"/>
      <c r="I82" s="45"/>
      <c r="J82" s="45"/>
      <c r="K82" s="45"/>
      <c r="L82" s="45"/>
      <c r="M82" s="45"/>
      <c r="N82" s="46">
        <v>4</v>
      </c>
    </row>
    <row r="83" spans="1:14" s="17" customFormat="1" ht="36" hidden="1" x14ac:dyDescent="0.3">
      <c r="A83" s="14">
        <v>76</v>
      </c>
      <c r="B83" s="15" t="s">
        <v>152</v>
      </c>
      <c r="C83" s="15" t="s">
        <v>153</v>
      </c>
      <c r="D83" s="14" t="s">
        <v>108</v>
      </c>
      <c r="E83" s="16"/>
      <c r="F83" s="16"/>
      <c r="G83" s="16"/>
      <c r="H83" s="16"/>
      <c r="I83" s="16"/>
      <c r="J83" s="16"/>
      <c r="K83" s="16"/>
      <c r="L83" s="16"/>
      <c r="M83" s="16" t="s">
        <v>198</v>
      </c>
      <c r="N83" s="50">
        <v>1</v>
      </c>
    </row>
    <row r="84" spans="1:14" s="17" customFormat="1" ht="36" hidden="1" x14ac:dyDescent="0.3">
      <c r="A84" s="14">
        <v>77</v>
      </c>
      <c r="B84" s="15" t="s">
        <v>154</v>
      </c>
      <c r="C84" s="15" t="s">
        <v>155</v>
      </c>
      <c r="D84" s="14" t="s">
        <v>108</v>
      </c>
      <c r="E84" s="16"/>
      <c r="F84" s="16"/>
      <c r="G84" s="16"/>
      <c r="H84" s="16"/>
      <c r="I84" s="16"/>
      <c r="J84" s="16"/>
      <c r="K84" s="16"/>
      <c r="L84" s="16"/>
      <c r="M84" s="16" t="s">
        <v>175</v>
      </c>
      <c r="N84" s="50">
        <v>1</v>
      </c>
    </row>
    <row r="85" spans="1:14" s="17" customFormat="1" ht="36" hidden="1" x14ac:dyDescent="0.3">
      <c r="A85" s="14">
        <v>78</v>
      </c>
      <c r="B85" s="15" t="s">
        <v>156</v>
      </c>
      <c r="C85" s="15" t="s">
        <v>157</v>
      </c>
      <c r="D85" s="14" t="s">
        <v>108</v>
      </c>
      <c r="E85" s="16"/>
      <c r="F85" s="16"/>
      <c r="G85" s="16"/>
      <c r="H85" s="16"/>
      <c r="I85" s="16"/>
      <c r="J85" s="16"/>
      <c r="K85" s="16"/>
      <c r="L85" s="16"/>
      <c r="M85" s="16" t="s">
        <v>175</v>
      </c>
      <c r="N85" s="50">
        <v>1</v>
      </c>
    </row>
    <row r="86" spans="1:14" s="6" customFormat="1" ht="72" hidden="1" x14ac:dyDescent="0.3">
      <c r="A86" s="5">
        <v>79</v>
      </c>
      <c r="B86" s="7" t="s">
        <v>158</v>
      </c>
      <c r="C86" s="7" t="s">
        <v>159</v>
      </c>
      <c r="D86" s="5" t="s">
        <v>108</v>
      </c>
      <c r="E86" s="9"/>
      <c r="F86" s="9"/>
      <c r="G86" s="9"/>
      <c r="H86" s="9"/>
      <c r="I86" s="9"/>
      <c r="J86" s="9"/>
      <c r="K86" s="9"/>
      <c r="L86" s="9"/>
      <c r="M86" s="9" t="s">
        <v>175</v>
      </c>
      <c r="N86" s="52">
        <v>5</v>
      </c>
    </row>
    <row r="87" spans="1:14" s="6" customFormat="1" ht="36" hidden="1" x14ac:dyDescent="0.3">
      <c r="A87" s="5">
        <v>80</v>
      </c>
      <c r="B87" s="7" t="s">
        <v>160</v>
      </c>
      <c r="C87" s="7" t="s">
        <v>161</v>
      </c>
      <c r="D87" s="5" t="s">
        <v>108</v>
      </c>
      <c r="E87" s="9"/>
      <c r="F87" s="9"/>
      <c r="G87" s="9"/>
      <c r="H87" s="9"/>
      <c r="I87" s="9"/>
      <c r="J87" s="9"/>
      <c r="K87" s="9"/>
      <c r="L87" s="9"/>
      <c r="M87" s="9" t="s">
        <v>175</v>
      </c>
      <c r="N87" s="52">
        <v>5</v>
      </c>
    </row>
    <row r="88" spans="1:14" s="6" customFormat="1" ht="36" hidden="1" x14ac:dyDescent="0.3">
      <c r="A88" s="5">
        <v>81</v>
      </c>
      <c r="B88" s="7" t="s">
        <v>162</v>
      </c>
      <c r="C88" s="7" t="s">
        <v>163</v>
      </c>
      <c r="D88" s="5" t="s">
        <v>108</v>
      </c>
      <c r="E88" s="9"/>
      <c r="F88" s="9"/>
      <c r="G88" s="9"/>
      <c r="H88" s="9"/>
      <c r="I88" s="9"/>
      <c r="J88" s="9"/>
      <c r="K88" s="9"/>
      <c r="L88" s="9"/>
      <c r="M88" s="9" t="s">
        <v>175</v>
      </c>
      <c r="N88" s="52">
        <v>5</v>
      </c>
    </row>
    <row r="89" spans="1:14" s="6" customFormat="1" ht="36" hidden="1" x14ac:dyDescent="0.3">
      <c r="A89" s="5">
        <v>82</v>
      </c>
      <c r="B89" s="7" t="s">
        <v>164</v>
      </c>
      <c r="C89" s="7" t="s">
        <v>165</v>
      </c>
      <c r="D89" s="5" t="s">
        <v>108</v>
      </c>
      <c r="E89" s="9"/>
      <c r="F89" s="9"/>
      <c r="G89" s="9"/>
      <c r="H89" s="9"/>
      <c r="I89" s="9"/>
      <c r="J89" s="9"/>
      <c r="K89" s="9"/>
      <c r="L89" s="9"/>
      <c r="M89" s="9" t="s">
        <v>175</v>
      </c>
      <c r="N89" s="52">
        <v>5</v>
      </c>
    </row>
    <row r="90" spans="1:14" s="6" customFormat="1" ht="54" hidden="1" x14ac:dyDescent="0.3">
      <c r="A90" s="5">
        <v>83</v>
      </c>
      <c r="B90" s="7" t="s">
        <v>166</v>
      </c>
      <c r="C90" s="7" t="s">
        <v>199</v>
      </c>
      <c r="D90" s="5" t="s">
        <v>108</v>
      </c>
      <c r="E90" s="9"/>
      <c r="F90" s="9"/>
      <c r="G90" s="9"/>
      <c r="H90" s="9"/>
      <c r="I90" s="9"/>
      <c r="J90" s="9"/>
      <c r="K90" s="9"/>
      <c r="L90" s="9"/>
      <c r="M90" s="9" t="s">
        <v>175</v>
      </c>
      <c r="N90" s="52">
        <v>5</v>
      </c>
    </row>
    <row r="91" spans="1:14" s="6" customFormat="1" ht="54" hidden="1" x14ac:dyDescent="0.3">
      <c r="A91" s="5">
        <v>84</v>
      </c>
      <c r="B91" s="7" t="s">
        <v>167</v>
      </c>
      <c r="C91" s="7" t="s">
        <v>168</v>
      </c>
      <c r="D91" s="5" t="s">
        <v>108</v>
      </c>
      <c r="E91" s="9"/>
      <c r="F91" s="9"/>
      <c r="G91" s="9"/>
      <c r="H91" s="9"/>
      <c r="I91" s="9"/>
      <c r="J91" s="9"/>
      <c r="K91" s="9"/>
      <c r="L91" s="9"/>
      <c r="M91" s="9" t="s">
        <v>175</v>
      </c>
      <c r="N91" s="52">
        <v>5</v>
      </c>
    </row>
    <row r="92" spans="1:14" s="13" customFormat="1" ht="17.399999999999999" hidden="1" x14ac:dyDescent="0.3">
      <c r="A92" s="11" t="s">
        <v>182</v>
      </c>
      <c r="B92" s="10" t="s">
        <v>183</v>
      </c>
      <c r="C92" s="24"/>
      <c r="D92" s="12">
        <f>SUM(E92:M92)</f>
        <v>84</v>
      </c>
      <c r="E92" s="12">
        <v>17</v>
      </c>
      <c r="F92" s="12">
        <v>16</v>
      </c>
      <c r="G92" s="12">
        <v>14</v>
      </c>
      <c r="H92" s="12">
        <v>3</v>
      </c>
      <c r="I92" s="12">
        <v>9</v>
      </c>
      <c r="J92" s="12">
        <v>5</v>
      </c>
      <c r="K92" s="12">
        <v>6</v>
      </c>
      <c r="L92" s="12">
        <v>5</v>
      </c>
      <c r="M92" s="12">
        <v>9</v>
      </c>
      <c r="N92" s="12"/>
    </row>
  </sheetData>
  <autoFilter ref="A3:N92">
    <filterColumn colId="13">
      <filters>
        <filter val="4"/>
      </filters>
    </filterColumn>
  </autoFilter>
  <mergeCells count="1">
    <mergeCell ref="A1:D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7.399999999999999" x14ac:dyDescent="0.3"/>
  <cols>
    <col min="1" max="1" width="8.88671875" style="21"/>
    <col min="2" max="2" width="36.21875" style="20" customWidth="1"/>
    <col min="3" max="16384" width="8.88671875" style="20"/>
  </cols>
  <sheetData>
    <row r="1" spans="1:2" s="23" customFormat="1" ht="22.8" customHeight="1" x14ac:dyDescent="0.3">
      <c r="A1" s="22" t="s">
        <v>192</v>
      </c>
      <c r="B1" s="23" t="s">
        <v>191</v>
      </c>
    </row>
    <row r="2" spans="1:2" s="27" customFormat="1" ht="22.8" customHeight="1" x14ac:dyDescent="0.3">
      <c r="A2" s="26">
        <v>1</v>
      </c>
      <c r="B2" s="27" t="s">
        <v>193</v>
      </c>
    </row>
    <row r="3" spans="1:2" s="29" customFormat="1" ht="22.8" customHeight="1" x14ac:dyDescent="0.3">
      <c r="A3" s="28">
        <v>2</v>
      </c>
      <c r="B3" s="29" t="s">
        <v>194</v>
      </c>
    </row>
    <row r="4" spans="1:2" s="31" customFormat="1" ht="22.8" customHeight="1" x14ac:dyDescent="0.3">
      <c r="A4" s="30">
        <v>3</v>
      </c>
      <c r="B4" s="31" t="s">
        <v>236</v>
      </c>
    </row>
    <row r="5" spans="1:2" s="49" customFormat="1" ht="22.8" customHeight="1" x14ac:dyDescent="0.3">
      <c r="A5" s="48">
        <v>4</v>
      </c>
      <c r="B5" s="49" t="s">
        <v>195</v>
      </c>
    </row>
    <row r="6" spans="1:2" s="62" customFormat="1" ht="22.8" customHeight="1" x14ac:dyDescent="0.3">
      <c r="A6" s="61">
        <v>5</v>
      </c>
      <c r="B6" s="62" t="s">
        <v>235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13" sqref="C13"/>
    </sheetView>
  </sheetViews>
  <sheetFormatPr defaultRowHeight="25.8" x14ac:dyDescent="0.5"/>
  <cols>
    <col min="1" max="1" width="15.33203125" style="56" customWidth="1"/>
    <col min="2" max="2" width="27.33203125" style="57" customWidth="1"/>
    <col min="3" max="3" width="26.21875" style="57" customWidth="1"/>
    <col min="4" max="4" width="30.88671875" style="57" customWidth="1"/>
    <col min="5" max="5" width="27" style="59" customWidth="1"/>
    <col min="6" max="6" width="36" style="57" customWidth="1"/>
    <col min="7" max="8" width="15.33203125" style="56" customWidth="1"/>
    <col min="9" max="16384" width="8.88671875" style="56"/>
  </cols>
  <sheetData>
    <row r="1" spans="1:6" s="58" customFormat="1" x14ac:dyDescent="0.5">
      <c r="B1" s="59"/>
      <c r="C1" s="59"/>
      <c r="D1" s="59" t="s">
        <v>218</v>
      </c>
      <c r="E1" s="59" t="s">
        <v>219</v>
      </c>
      <c r="F1" s="59" t="s">
        <v>191</v>
      </c>
    </row>
    <row r="2" spans="1:6" x14ac:dyDescent="0.5">
      <c r="B2" s="57" t="s">
        <v>210</v>
      </c>
      <c r="C2" s="57" t="s">
        <v>212</v>
      </c>
      <c r="D2" s="57" t="s">
        <v>213</v>
      </c>
    </row>
    <row r="3" spans="1:6" x14ac:dyDescent="0.5">
      <c r="A3" s="56" t="s">
        <v>209</v>
      </c>
      <c r="B3" s="57">
        <v>1000000000</v>
      </c>
      <c r="C3" s="57">
        <f>B3*0.75%</f>
        <v>7500000</v>
      </c>
      <c r="D3" s="57">
        <f>C3</f>
        <v>7500000</v>
      </c>
    </row>
    <row r="4" spans="1:6" x14ac:dyDescent="0.5">
      <c r="A4" s="56" t="s">
        <v>211</v>
      </c>
      <c r="B4" s="57">
        <v>1000000000</v>
      </c>
      <c r="C4" s="57">
        <f>(B4-B3)*0.75%</f>
        <v>0</v>
      </c>
      <c r="D4" s="57">
        <f>D3+C4</f>
        <v>7500000</v>
      </c>
    </row>
    <row r="5" spans="1:6" x14ac:dyDescent="0.5">
      <c r="A5" s="56" t="s">
        <v>214</v>
      </c>
      <c r="B5" s="57">
        <v>2000000000</v>
      </c>
      <c r="C5" s="57">
        <f>(B5-B4)*0.75%</f>
        <v>7500000</v>
      </c>
      <c r="D5" s="57">
        <f>D4+C5</f>
        <v>15000000</v>
      </c>
    </row>
    <row r="6" spans="1:6" x14ac:dyDescent="0.5">
      <c r="A6" s="56" t="s">
        <v>215</v>
      </c>
      <c r="B6" s="57">
        <v>1500000000</v>
      </c>
      <c r="C6" s="57">
        <f>(B6-B5)*0.75%</f>
        <v>-3750000</v>
      </c>
      <c r="D6" s="57">
        <f>D5+C6</f>
        <v>11250000</v>
      </c>
    </row>
    <row r="7" spans="1:6" x14ac:dyDescent="0.5">
      <c r="A7" s="56" t="s">
        <v>216</v>
      </c>
      <c r="B7" s="57">
        <f>B6</f>
        <v>1500000000</v>
      </c>
      <c r="C7" s="57">
        <f>(B7-B6)*0.75%</f>
        <v>0</v>
      </c>
      <c r="D7" s="57">
        <f>D6+C7</f>
        <v>11250000</v>
      </c>
      <c r="E7" s="59" t="s">
        <v>208</v>
      </c>
      <c r="F7" s="57" t="s">
        <v>220</v>
      </c>
    </row>
    <row r="8" spans="1:6" x14ac:dyDescent="0.5">
      <c r="A8" s="56" t="s">
        <v>217</v>
      </c>
      <c r="B8" s="57">
        <v>1000000000</v>
      </c>
      <c r="C8" s="57">
        <f>(B8-B7)*0.75%</f>
        <v>-3750000</v>
      </c>
      <c r="D8" s="57">
        <f>D7+C8</f>
        <v>7500000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s="6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Các trạng thái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2026-07-28T09:36:53Z</dcterms:modified>
</cp:coreProperties>
</file>